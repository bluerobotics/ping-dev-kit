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<sst xmlns="http://schemas.openxmlformats.org/spreadsheetml/2006/main" count="983" uniqueCount="829">
  <si>
    <t xml:space="preserve"># Boards: </t>
  </si>
  <si>
    <t xml:space="preserve">   &lt;---- EDIT NUMBER OF BOARDS HERE</t>
  </si>
  <si>
    <t>Project:</t>
  </si>
  <si>
    <t>PingDevKit</t>
  </si>
  <si>
    <t>BR Number:</t>
  </si>
  <si>
    <t>BR-103907-002 RevA</t>
  </si>
  <si>
    <t>Date:</t>
  </si>
  <si>
    <t>2025-12-08T10:56:23-0800</t>
  </si>
  <si>
    <t>Legend</t>
  </si>
  <si>
    <t>In stock @ JLC</t>
  </si>
  <si>
    <t>Low Stock @ JLC</t>
  </si>
  <si>
    <t>Not Enough Stock @ JLC</t>
  </si>
  <si>
    <t>Does not exist @ JLC</t>
  </si>
  <si>
    <t>BRE Number</t>
  </si>
  <si>
    <t>Reference</t>
  </si>
  <si>
    <t>Description</t>
  </si>
  <si>
    <t>Quantity/Board</t>
  </si>
  <si>
    <t>Total Quantity</t>
  </si>
  <si>
    <t>MPN</t>
  </si>
  <si>
    <t>JLCPCB Part #</t>
  </si>
  <si>
    <t>JLC Stock</t>
  </si>
  <si>
    <t>Global + Consigned Stock</t>
  </si>
  <si>
    <t>Alt JLC Parts</t>
  </si>
  <si>
    <t>DigiKey Parts</t>
  </si>
  <si>
    <t>Mouser Parts</t>
  </si>
  <si>
    <t>Other Vendor Parts</t>
  </si>
  <si>
    <t>Unit Cost</t>
  </si>
  <si>
    <t>Cost Per Board</t>
  </si>
  <si>
    <t>DNP Components</t>
  </si>
  <si>
    <t xml:space="preserve"> </t>
  </si>
  <si>
    <t>BRE-000010</t>
  </si>
  <si>
    <t>C101, C103, C107, C109, C407, C412, C601, C604, C606, C902, C903, C904, C1213, C1503, C1504</t>
  </si>
  <si>
    <t>100nF 50V X7R 10% Ceramic Capacitor 0402 AEC-Q200</t>
  </si>
  <si>
    <t>placeholder</t>
  </si>
  <si>
    <t>GCM155R71H104KE02D</t>
  </si>
  <si>
    <t>C85858</t>
  </si>
  <si>
    <t>490-10672-2-ND</t>
  </si>
  <si>
    <t>81-GCM155R71H104KE2D</t>
  </si>
  <si>
    <t>BRE-001204</t>
  </si>
  <si>
    <t>C102, C106, C803, C804, C805, C1507, C1508, C1509, C1510</t>
  </si>
  <si>
    <t>2.2uF 100V X7T 10% Ceramic Capacitor 0805</t>
  </si>
  <si>
    <t>GRM21BD72A225KE01L</t>
  </si>
  <si>
    <t>C2981733</t>
  </si>
  <si>
    <t>490-GRM21BD72A225KE01LCT-ND</t>
  </si>
  <si>
    <t>81-GRM21BD72A225KE1L</t>
  </si>
  <si>
    <t>BRE-000000</t>
  </si>
  <si>
    <t>C104, C113, C201, C304, C306, C309, C311, C312, C314, C315, C317, C318, C319, C320, C321, C322, C323, C324, C325, C704, C707, C708, C1001, C1002, C1008, C1204, C1402</t>
  </si>
  <si>
    <t>100nF 25V X5R 10% Ceramic Capacitor 0201</t>
  </si>
  <si>
    <t>GRM033R61E104KE14J</t>
  </si>
  <si>
    <t>C76939</t>
  </si>
  <si>
    <t>C2649540</t>
  </si>
  <si>
    <t>490-14571-1-ND</t>
  </si>
  <si>
    <t>81-GRM033R61E104KE4J</t>
  </si>
  <si>
    <t>BRE-000064</t>
  </si>
  <si>
    <t>C105, C1202, C1211, C1212</t>
  </si>
  <si>
    <t>10uF 100V X7S 10% Ceramic Capacitor 1210</t>
  </si>
  <si>
    <t>GRM32EC72A106KE05L</t>
  </si>
  <si>
    <t>C576517</t>
  </si>
  <si>
    <t>490-16266-1-ND</t>
  </si>
  <si>
    <t>81-GRM32EC72A106KE05</t>
  </si>
  <si>
    <t>BRE-001203</t>
  </si>
  <si>
    <t>C108, C110</t>
  </si>
  <si>
    <t>220nF 100V X7S 10% Ceramic Capacitor 0603</t>
  </si>
  <si>
    <t>HMK107C7224KAHTE</t>
  </si>
  <si>
    <t>C2169715</t>
  </si>
  <si>
    <t>587-5012-1-ND</t>
  </si>
  <si>
    <t>963-HMK107C7224KAHTE</t>
  </si>
  <si>
    <t>BRE-000054</t>
  </si>
  <si>
    <t>C111, C112</t>
  </si>
  <si>
    <t>470nF 100V X7R 10% Ceramic Capacitor 0805</t>
  </si>
  <si>
    <t>CC0805KKX7R0BB474</t>
  </si>
  <si>
    <t>C596323</t>
  </si>
  <si>
    <t>13-CC0805KKX7R0BB474CT-ND</t>
  </si>
  <si>
    <t>603-CC0805KX7R0BB474</t>
  </si>
  <si>
    <t>BRE-000020</t>
  </si>
  <si>
    <t>C114, C1206</t>
  </si>
  <si>
    <t>1uF 50V X5R 10% Ceramic Capacitor 0402</t>
  </si>
  <si>
    <t>GRM155R61H105KE05D</t>
  </si>
  <si>
    <t>C1518208</t>
  </si>
  <si>
    <t>490-GRM155R61H105KE05DCT-ND</t>
  </si>
  <si>
    <t>81-GRM155R61H105KE5D</t>
  </si>
  <si>
    <t>BRE-000052</t>
  </si>
  <si>
    <t>C115, C202</t>
  </si>
  <si>
    <t>22uF 25V X5R 20% Ceramic Capacitor 0805</t>
  </si>
  <si>
    <t>CC0805MKX5R8BB226</t>
  </si>
  <si>
    <t>C784585</t>
  </si>
  <si>
    <t>311-1903-1-ND</t>
  </si>
  <si>
    <t>603-CC805MKX5R8BB226</t>
  </si>
  <si>
    <t>BRE-000015</t>
  </si>
  <si>
    <t>C301, C303, C313, C701, C711, C1101, C1102, C1303</t>
  </si>
  <si>
    <t>10uF 10V X5R 20% Ceramic Capacitor 0402</t>
  </si>
  <si>
    <t>CL05A106MP5NUNC</t>
  </si>
  <si>
    <t>C315248</t>
  </si>
  <si>
    <t>1276-1450-6-ND</t>
  </si>
  <si>
    <t>187-CL05A106MP5NUNC</t>
  </si>
  <si>
    <t>BRE-000009</t>
  </si>
  <si>
    <t>C302, C307</t>
  </si>
  <si>
    <t>6pF 50V C0G 15% Ceramic Capacitor 0201</t>
  </si>
  <si>
    <t>GRM0335C1H6R0BA01D</t>
  </si>
  <si>
    <t>C161434</t>
  </si>
  <si>
    <t>490-11339-1-ND</t>
  </si>
  <si>
    <t>81-GRM0335C1H6R0BA1D</t>
  </si>
  <si>
    <t>BRE-001205</t>
  </si>
  <si>
    <t>C305, C308, C310</t>
  </si>
  <si>
    <t>4.7uF 6.3V X5R 20% Ceramic Capacitor 0201</t>
  </si>
  <si>
    <t>GRM035R60J475ME15D</t>
  </si>
  <si>
    <t>C335103</t>
  </si>
  <si>
    <t>490-13230-1-ND</t>
  </si>
  <si>
    <t>81-GRM035R60J475ME5D</t>
  </si>
  <si>
    <t>BRE-001077</t>
  </si>
  <si>
    <t>C316</t>
  </si>
  <si>
    <t>100pF 50V C0G 5% Ceramic Capacitor 0201</t>
  </si>
  <si>
    <t>GRM0335C1E101JA01D</t>
  </si>
  <si>
    <t>C76917</t>
  </si>
  <si>
    <t>BRE-001025</t>
  </si>
  <si>
    <t>C401, C810, C1003, C1004, C1006, C1007</t>
  </si>
  <si>
    <t>100nF 100V X5R 20% Ceramic Capacitor 0402</t>
  </si>
  <si>
    <t>GRM155R62A104ME14D</t>
  </si>
  <si>
    <t>C162178</t>
  </si>
  <si>
    <t>C162179</t>
  </si>
  <si>
    <t>490-10459-1-ND</t>
  </si>
  <si>
    <t>BRE-001222</t>
  </si>
  <si>
    <t>C402</t>
  </si>
  <si>
    <t>200pF 50V C0G 5% Ceramic Capacitor 0402</t>
  </si>
  <si>
    <t>CC0402JRNPO9BN201</t>
  </si>
  <si>
    <t>C325462</t>
  </si>
  <si>
    <t>BRE-000019</t>
  </si>
  <si>
    <t>C403, C411, C703, C709, C710, C901, C1501, C1506, C1606</t>
  </si>
  <si>
    <t>1uF 10V X7R 10% Ceramic Capacitor 0402</t>
  </si>
  <si>
    <t>GRM155Z71A105KE01D</t>
  </si>
  <si>
    <t>C528974</t>
  </si>
  <si>
    <t>C23692972</t>
  </si>
  <si>
    <t>490-GRM155Z71A105KE01DDKR-ND</t>
  </si>
  <si>
    <t>81-GRM155Z71A105KE1D</t>
  </si>
  <si>
    <t>BRE-000030</t>
  </si>
  <si>
    <t>C404</t>
  </si>
  <si>
    <t>47nF 50V X7R 10% Ceramic Capacitor 0402</t>
  </si>
  <si>
    <t>GRM155R71H473KE14D</t>
  </si>
  <si>
    <t>C117757</t>
  </si>
  <si>
    <t>490-10702-6-ND</t>
  </si>
  <si>
    <t>81-GRM155R71H473KE4D</t>
  </si>
  <si>
    <t>BRE-001221</t>
  </si>
  <si>
    <t>C405, C406</t>
  </si>
  <si>
    <t>15nF 50V X7R 10% Ceramic Capacitor 0402</t>
  </si>
  <si>
    <t>CC0402KRX7R9BB153</t>
  </si>
  <si>
    <t>C114405</t>
  </si>
  <si>
    <t>BRE-000027</t>
  </si>
  <si>
    <t>C408, C409</t>
  </si>
  <si>
    <t>3.9pF 50V C0G 3% Ceramic Capacitor 0402</t>
  </si>
  <si>
    <t>CC0402BRNPO9BN3R9</t>
  </si>
  <si>
    <t>C505474</t>
  </si>
  <si>
    <t>311-1622-1-ND</t>
  </si>
  <si>
    <t>603-CC402BRNPO9BN3R9</t>
  </si>
  <si>
    <t>BRE-000003</t>
  </si>
  <si>
    <t>C410</t>
  </si>
  <si>
    <t>1uF 16V X5R 10% Ceramic Capacitor 0201</t>
  </si>
  <si>
    <t>GRM033R61C105ME15D</t>
  </si>
  <si>
    <t>C335102</t>
  </si>
  <si>
    <t>490-18654-1-ND</t>
  </si>
  <si>
    <t>81-GRM033R61C105ME5D</t>
  </si>
  <si>
    <t>BRE-000033</t>
  </si>
  <si>
    <t>C602, C603, C806, C1214</t>
  </si>
  <si>
    <t>4.7uF 10V X7T 20% Ceramic Capacitor 0402</t>
  </si>
  <si>
    <t>GRM155D71A475ME15J</t>
  </si>
  <si>
    <t>C20044522</t>
  </si>
  <si>
    <t>C20044523</t>
  </si>
  <si>
    <t>490-GRM155D71A475ME15JTR-ND</t>
  </si>
  <si>
    <t>81-GRM155D71A475ME5J</t>
  </si>
  <si>
    <t>BRE-001238</t>
  </si>
  <si>
    <t>C605, C1401</t>
  </si>
  <si>
    <t>330nF 16V X7R 10% Ceramic Capacitor 0402</t>
  </si>
  <si>
    <t>0402B334K160NT</t>
  </si>
  <si>
    <t>C301942</t>
  </si>
  <si>
    <t>BRE-000060</t>
  </si>
  <si>
    <t>C702, C712</t>
  </si>
  <si>
    <t>1nF 2kV X7R 10% Ceramic Capacitor 1206</t>
  </si>
  <si>
    <t>CC1206KKX7RDBB102</t>
  </si>
  <si>
    <t>C23631</t>
  </si>
  <si>
    <t>311-1487-1-ND</t>
  </si>
  <si>
    <t>603-CC206KKX7RDBB102</t>
  </si>
  <si>
    <t>BRE-000001</t>
  </si>
  <si>
    <t>C705, C706</t>
  </si>
  <si>
    <t>10nF 25V X7R 10% Ceramic Capacitor 0201</t>
  </si>
  <si>
    <t>GRM033R71E103KE14D</t>
  </si>
  <si>
    <t>C85930</t>
  </si>
  <si>
    <t>490-14454-2-ND</t>
  </si>
  <si>
    <t>81-GRM0335C1E12FA1D</t>
  </si>
  <si>
    <t>BRE-000049</t>
  </si>
  <si>
    <t>C807</t>
  </si>
  <si>
    <t>1uF 100V X7S 10% Ceramic Capacitor 0805</t>
  </si>
  <si>
    <t>GRM21BC72A105KE01L</t>
  </si>
  <si>
    <t>C385039</t>
  </si>
  <si>
    <t>490-14464-1-ND</t>
  </si>
  <si>
    <t>81-GRM21BC72A105KE1L</t>
  </si>
  <si>
    <t>BRE-000024</t>
  </si>
  <si>
    <t>C808, C1301, C1601, C1607</t>
  </si>
  <si>
    <t>2.2uF 10V X7R 10% Ceramic Capacitor 0402</t>
  </si>
  <si>
    <t>GRM155Z71A225KE01D</t>
  </si>
  <si>
    <t>C2997286</t>
  </si>
  <si>
    <t>490-GRM155Z71A225KE01DCT-ND</t>
  </si>
  <si>
    <t>81-GRM155Z71A225KE1D</t>
  </si>
  <si>
    <t>BRE-000034</t>
  </si>
  <si>
    <t>C809, C1209, C1210, C1502, C1505</t>
  </si>
  <si>
    <t>100nF 100V X7R 10% Ceramic Capacitor 0603 AEC-Q200</t>
  </si>
  <si>
    <t>GCJ188R72A104KA01D</t>
  </si>
  <si>
    <t>C161117</t>
  </si>
  <si>
    <t>490-13420-1-ND</t>
  </si>
  <si>
    <t>81-GCJ188R72A104KA1D</t>
  </si>
  <si>
    <t>BRE-000032</t>
  </si>
  <si>
    <t>C811</t>
  </si>
  <si>
    <t>4.7nF 100V X7R 10% Ceramic Capacitor 0402</t>
  </si>
  <si>
    <t>GRM155R72A472KA01D</t>
  </si>
  <si>
    <t>C415704</t>
  </si>
  <si>
    <t>490-3885-1-ND</t>
  </si>
  <si>
    <t>81-GRM155R72A472KA01</t>
  </si>
  <si>
    <t>BRE-000035</t>
  </si>
  <si>
    <t>C812, C813</t>
  </si>
  <si>
    <t>10uF 10V X7T 10% Ceramic Capacitor 0603</t>
  </si>
  <si>
    <t>GRM188D71A106KA73D</t>
  </si>
  <si>
    <t>C385037</t>
  </si>
  <si>
    <t>490-14461-1-ND</t>
  </si>
  <si>
    <t>81-GRM188D71A106KA3D</t>
  </si>
  <si>
    <t>BRE-001089</t>
  </si>
  <si>
    <t>C1005</t>
  </si>
  <si>
    <t>4.7uF 100V X7S 10% Ceramic Capacitor 1206</t>
  </si>
  <si>
    <t>GRM31CC72A475KE11L</t>
  </si>
  <si>
    <t>C237304</t>
  </si>
  <si>
    <t>BRE-000013</t>
  </si>
  <si>
    <t>C1201, C1602, C1603</t>
  </si>
  <si>
    <t>10nF 50V X7R 10% Ceramic Capacitor 0402</t>
  </si>
  <si>
    <t>CC0402KRX7R9BB103</t>
  </si>
  <si>
    <t>C60133</t>
  </si>
  <si>
    <t>311-1349-1-ND</t>
  </si>
  <si>
    <t>603-CC402KRX7R9BB103</t>
  </si>
  <si>
    <t>BRE-000028</t>
  </si>
  <si>
    <t>C1203</t>
  </si>
  <si>
    <t>470nF 16V X7R 10% Ceramic Capacitor 0402</t>
  </si>
  <si>
    <t>GRM155R71C474KE01D</t>
  </si>
  <si>
    <t>C471404</t>
  </si>
  <si>
    <t>C432936</t>
  </si>
  <si>
    <t>BRE-000022</t>
  </si>
  <si>
    <t>C1205, C1605</t>
  </si>
  <si>
    <t>22nF 50V X7R 10% Ceramic Capacitor 0402</t>
  </si>
  <si>
    <t>GRM155R71H223KA12D</t>
  </si>
  <si>
    <t>C77023</t>
  </si>
  <si>
    <t>490-3884-1-ND</t>
  </si>
  <si>
    <t>81-GRM155R71H223KA12</t>
  </si>
  <si>
    <t>BRE-000036</t>
  </si>
  <si>
    <t>C1207</t>
  </si>
  <si>
    <t>10uF 16V X5R 10% Ceramic Capacitor 0603 AEC-Q200</t>
  </si>
  <si>
    <t>GRT188R61C106KE13J</t>
  </si>
  <si>
    <t>C962136</t>
  </si>
  <si>
    <t>C3888097</t>
  </si>
  <si>
    <t>490-GRT188R61C106KE13JCT-ND</t>
  </si>
  <si>
    <t>81-GRT188R61C106KE3J</t>
  </si>
  <si>
    <t>BRE-001283</t>
  </si>
  <si>
    <t>C1208, C1215, C1216, C1217, C1218, C1219</t>
  </si>
  <si>
    <t>220uF 100V 20% Electrolytic Capacitor SMD</t>
  </si>
  <si>
    <t>VMML1652A221MV</t>
  </si>
  <si>
    <t>C487184</t>
  </si>
  <si>
    <t>5011-VMML1652A221MVCT-ND</t>
  </si>
  <si>
    <t>BRE-001236</t>
  </si>
  <si>
    <t>C1302</t>
  </si>
  <si>
    <t>330pF 50V C0G 5% Ceramic Capacitor 0402</t>
  </si>
  <si>
    <t>CC0402JRNPO9BN331</t>
  </si>
  <si>
    <t>C107006</t>
  </si>
  <si>
    <t>BRE-001037</t>
  </si>
  <si>
    <t>C1604</t>
  </si>
  <si>
    <t>220nF 25V X7R 10% Ceramic Capacitor 0402</t>
  </si>
  <si>
    <t>TCC0402X7R224K250AT</t>
  </si>
  <si>
    <t>C915854</t>
  </si>
  <si>
    <t>BRE-000131</t>
  </si>
  <si>
    <t>D101</t>
  </si>
  <si>
    <t>Zener Diode 10V Reverse 300 mW SOD-323</t>
  </si>
  <si>
    <t>MM3Z10VT1G</t>
  </si>
  <si>
    <t>C894520</t>
  </si>
  <si>
    <t>MM3Z10VT1GOSCT-ND</t>
  </si>
  <si>
    <t>863-MM3Z10VT1G</t>
  </si>
  <si>
    <t>BRE-000251</t>
  </si>
  <si>
    <t>D301</t>
  </si>
  <si>
    <t>Green 525nm LED Indicator 2.8V 30mA max SMT 0603</t>
  </si>
  <si>
    <t>ORH-G36G</t>
  </si>
  <si>
    <t>C286781</t>
  </si>
  <si>
    <t>C205443</t>
  </si>
  <si>
    <t>BRE-000122</t>
  </si>
  <si>
    <t>D401, D402, D403, D404</t>
  </si>
  <si>
    <t>Schottky Diode 30V 200mA SOD-523</t>
  </si>
  <si>
    <t>RB520S30T5G</t>
  </si>
  <si>
    <t>C511880</t>
  </si>
  <si>
    <t>RB520S30T5GOSCT-ND</t>
  </si>
  <si>
    <t>863-RB520S30T5G</t>
  </si>
  <si>
    <t>BRE-000246</t>
  </si>
  <si>
    <t>D801, D1101</t>
  </si>
  <si>
    <t>Green 571nm LED Indicator 2V 30mA max SMT 0603</t>
  </si>
  <si>
    <t>LTST-C191KGKT</t>
  </si>
  <si>
    <t>C125098</t>
  </si>
  <si>
    <t>160-1446-1-ND, 160-1446-2-ND</t>
  </si>
  <si>
    <t>BRE-001023</t>
  </si>
  <si>
    <t>D1201</t>
  </si>
  <si>
    <t>Diode 200V 200mA SOD-323</t>
  </si>
  <si>
    <t>BAS20HT1G</t>
  </si>
  <si>
    <t>C152543</t>
  </si>
  <si>
    <t>BAS20HT1GOSTR-ND</t>
  </si>
  <si>
    <t>863-BAS20HT1G</t>
  </si>
  <si>
    <t>BRE-000120</t>
  </si>
  <si>
    <t>D1301</t>
  </si>
  <si>
    <t>Schottky Diode 30V 1A SOD-993</t>
  </si>
  <si>
    <t>PMEG3010AESBYL</t>
  </si>
  <si>
    <t>C28646369</t>
  </si>
  <si>
    <t>1727-2401-2-ND</t>
  </si>
  <si>
    <t>771-PMEG3010AESBYL</t>
  </si>
  <si>
    <t>BRE-001271</t>
  </si>
  <si>
    <t>J101</t>
  </si>
  <si>
    <t>1x2P 8A 130V 2.54mm Screw Terminal Through Hole</t>
  </si>
  <si>
    <t>KF128-2.54-2P</t>
  </si>
  <si>
    <t>C474920</t>
  </si>
  <si>
    <t>BRE-000078</t>
  </si>
  <si>
    <t>J102</t>
  </si>
  <si>
    <t>FPC Connector, Vertical, 0.5mm pitch, 6-pos</t>
  </si>
  <si>
    <t>2328702-6</t>
  </si>
  <si>
    <t>C3151647</t>
  </si>
  <si>
    <t>A141388CT-ND</t>
  </si>
  <si>
    <t>571-2328702-6</t>
  </si>
  <si>
    <t>BRE-000071</t>
  </si>
  <si>
    <t>J103</t>
  </si>
  <si>
    <t>RJ45 Receptacle Connector, Low-Profile, with LEDs, No Magnetics SMD+PTH</t>
  </si>
  <si>
    <t>RC01812</t>
  </si>
  <si>
    <t>C708645</t>
  </si>
  <si>
    <t>BRE-001120</t>
  </si>
  <si>
    <t>J104, J501, J502</t>
  </si>
  <si>
    <t>Header Pin Connector 02x10 2.54mm_VERT_SMD</t>
  </si>
  <si>
    <t>IPCP254M20PB28S</t>
  </si>
  <si>
    <t>C6332235</t>
  </si>
  <si>
    <t>C22438450</t>
  </si>
  <si>
    <t>BRE-000102</t>
  </si>
  <si>
    <t>J105, J112</t>
  </si>
  <si>
    <t>JST-GH Connector 4-pos, P=1.25mm, 1A 50V 30mΩ, 26-30awg, Horizontal</t>
  </si>
  <si>
    <t>SM04B-GHS-TB</t>
  </si>
  <si>
    <t>C189895</t>
  </si>
  <si>
    <t>455-1566-1-ND, 455-1566-2-ND</t>
  </si>
  <si>
    <t>BRE-000100</t>
  </si>
  <si>
    <t>J106</t>
  </si>
  <si>
    <t>JST-GH Connector 2-pos, P=1.25mm, 1A 50V 30mΩ, 26-30awg, Horizontal</t>
  </si>
  <si>
    <t>SM02B-GHS-TB</t>
  </si>
  <si>
    <t>C189893</t>
  </si>
  <si>
    <t>455-1564-1-ND, 455-1564-2-ND</t>
  </si>
  <si>
    <t>BRE-001259</t>
  </si>
  <si>
    <t>J107, J108, J109, J110, J301, J302, J401, J407</t>
  </si>
  <si>
    <t>Header Pin 2P 01x02P 2.54mm Pitch Vertical Through Hole 3A</t>
  </si>
  <si>
    <t>PZ254V-11-02P</t>
  </si>
  <si>
    <t>C492401</t>
  </si>
  <si>
    <t>BRE-000105</t>
  </si>
  <si>
    <t>J111</t>
  </si>
  <si>
    <t>JST-PA Connector 2-pos, P=2mm, 3A 250V 10mΩ, 22-28awg, Horizontal</t>
  </si>
  <si>
    <t>SM02B-PASS-TBT</t>
  </si>
  <si>
    <t>C265417</t>
  </si>
  <si>
    <t>455-SM02B-PASS-TBTCT-ND</t>
  </si>
  <si>
    <t>306-SM02BPASSTBTLFSN</t>
  </si>
  <si>
    <t>BRE-001285</t>
  </si>
  <si>
    <t>J402</t>
  </si>
  <si>
    <t>Header Pin Connector 02x03 2.54mm (0.100") Vertical SMD</t>
  </si>
  <si>
    <t>IPCP254M06PB28S</t>
  </si>
  <si>
    <t>C22438447</t>
  </si>
  <si>
    <t>BRE-001260</t>
  </si>
  <si>
    <t>J403, J404, J405, J406, J601, J1001, J1201, J1202</t>
  </si>
  <si>
    <t>Header Socket 01x02 2.54mm Vertical PTH</t>
  </si>
  <si>
    <t>MF254V-11-02-0743</t>
  </si>
  <si>
    <t>C2889984</t>
  </si>
  <si>
    <t>BRE-001275</t>
  </si>
  <si>
    <t>J901</t>
  </si>
  <si>
    <t>Header Pin Connector 02x06 2.54mm Vertical SMD</t>
  </si>
  <si>
    <t>PZ254-2-06-S</t>
  </si>
  <si>
    <t>C3294464</t>
  </si>
  <si>
    <t>BRE-001165</t>
  </si>
  <si>
    <t>L301</t>
  </si>
  <si>
    <t>2.2uH 20% 2.2Asat  2.4Adc 100mR Molded Power Inductor SMT 0805</t>
  </si>
  <si>
    <t>LMSC20120652R2MTA</t>
  </si>
  <si>
    <t>C46527037</t>
  </si>
  <si>
    <t>BRE-001232</t>
  </si>
  <si>
    <t>L801</t>
  </si>
  <si>
    <t>10uH 20% 10A 20.7mR  Shielded Molded Inductor SMT 13.5x12.6x6.3mm</t>
  </si>
  <si>
    <t>XR1265-100M</t>
  </si>
  <si>
    <t>C5339467</t>
  </si>
  <si>
    <t>553-4029-1-ND</t>
  </si>
  <si>
    <t>673-PA4343.103ANLT</t>
  </si>
  <si>
    <t>BRE-000227</t>
  </si>
  <si>
    <t>L1101</t>
  </si>
  <si>
    <t>2.2µH 20% 2.2A 50.4mR Shielded Wirewound Inductor SMT 4x4x1.8mm</t>
  </si>
  <si>
    <t>NRS4018T2R2MDGJV</t>
  </si>
  <si>
    <t>C2041550</t>
  </si>
  <si>
    <t>587-3577-1-ND, 587-3577-2-ND</t>
  </si>
  <si>
    <t>BRE-001279</t>
  </si>
  <si>
    <t>L1201</t>
  </si>
  <si>
    <t>10uH 20% 30A 2.6mR Flat Wire Inductor SMT 28x27.9x18mm</t>
  </si>
  <si>
    <t>FC-SE2918-100M-28A</t>
  </si>
  <si>
    <t>C3037600</t>
  </si>
  <si>
    <t>BRE-000220</t>
  </si>
  <si>
    <t>L1301</t>
  </si>
  <si>
    <t>4.7uH 20% 1.6A 175mR Shielded Molded Inductor SMT 1008 package</t>
  </si>
  <si>
    <t>AWP 252012FW-4R7M</t>
  </si>
  <si>
    <t>C17225812</t>
  </si>
  <si>
    <t>4816-AWP252012FW-4R7MCT-ND, 4816-AWP252012FW-4R7MTR-ND</t>
  </si>
  <si>
    <t>BRE-000414</t>
  </si>
  <si>
    <t>Q101</t>
  </si>
  <si>
    <t>P-Ch MOSFET 60 V 6.6A (Ta) 1.2W (Ta) 25mR Logic Level SO-8</t>
  </si>
  <si>
    <t>DMP6023LSS-13</t>
  </si>
  <si>
    <t>C154911</t>
  </si>
  <si>
    <t>DMP6023LSS-13DICT-ND</t>
  </si>
  <si>
    <t>621-DMP6023LSS-13</t>
  </si>
  <si>
    <t>BRE-000406</t>
  </si>
  <si>
    <t>Q1201</t>
  </si>
  <si>
    <t>2N-Ch Power MOSFET Array 100V 30A (Tc) 48W (Tc) 32.5mR Logic Level PowerPAK SO-8</t>
  </si>
  <si>
    <t>SQJ974EP-T1_GE3</t>
  </si>
  <si>
    <t>C727845</t>
  </si>
  <si>
    <t>SQJ974EP-T1_GE3CT-ND</t>
  </si>
  <si>
    <t>78-SQJ974EP-T1_GE3</t>
  </si>
  <si>
    <t>BRE-000311</t>
  </si>
  <si>
    <t>R101, R102, R409, R410, R411, R412</t>
  </si>
  <si>
    <t>1k 1% 100ppm 62.5mW Thick Film Resistor 0402</t>
  </si>
  <si>
    <t>RC0402FR-071KL</t>
  </si>
  <si>
    <t>C106235</t>
  </si>
  <si>
    <t>311-1.00KLRCT-ND, 311-1.00KLRTR-ND</t>
  </si>
  <si>
    <t>BRE-000278</t>
  </si>
  <si>
    <t>R103, R201</t>
  </si>
  <si>
    <t>47k 1% 200ppm 50mW Thick Film Resistor 0201</t>
  </si>
  <si>
    <t>RC0201FR-0747KL</t>
  </si>
  <si>
    <t>C138139</t>
  </si>
  <si>
    <t>311-47KMCT-ND</t>
  </si>
  <si>
    <t>603-RC0201FR-0747KL</t>
  </si>
  <si>
    <t>BRE-000261</t>
  </si>
  <si>
    <t>R104, R111, R112, R302, R1003, R1006, R1102</t>
  </si>
  <si>
    <t>10k 1% 200ppm 50mW Thick Film Resistor 0201</t>
  </si>
  <si>
    <t>RC0201FR-0710KL</t>
  </si>
  <si>
    <t>C106225</t>
  </si>
  <si>
    <t>311-10.0KMCT-ND</t>
  </si>
  <si>
    <t>603-RC0201FR-0710KL</t>
  </si>
  <si>
    <t>BRE-000290</t>
  </si>
  <si>
    <t>R105, R106, R107, R108, R109, R110, R601, R803</t>
  </si>
  <si>
    <t>100k 1% 100ppm 62.5mW Thick Film Resistor 0402</t>
  </si>
  <si>
    <t>RC0402FR-07100KL</t>
  </si>
  <si>
    <t>C60491</t>
  </si>
  <si>
    <t>311-100KLRCT-ND, 311-100KLRTR-ND</t>
  </si>
  <si>
    <t>BRE-001225</t>
  </si>
  <si>
    <t>R113, R203, R805, R806, R1502, R1503, R1504, R1505</t>
  </si>
  <si>
    <t>2.2R 1% 200ppm 62.5mW Thick Film Resistor 0402</t>
  </si>
  <si>
    <t>RC0402FR-072R2L</t>
  </si>
  <si>
    <t>C327251</t>
  </si>
  <si>
    <t>311-2.20LRCT-ND</t>
  </si>
  <si>
    <t>603-RC0402FR-072R2L</t>
  </si>
  <si>
    <t>BRE-000275</t>
  </si>
  <si>
    <t>R202, R303</t>
  </si>
  <si>
    <t>3k 1% 200ppm 50mW Chip Resistor 0201</t>
  </si>
  <si>
    <t>RC0201FR-073KL</t>
  </si>
  <si>
    <t>C142016</t>
  </si>
  <si>
    <t>YAG2656CT-ND</t>
  </si>
  <si>
    <t>603-RC0201FR-073KL</t>
  </si>
  <si>
    <t>BRE-000291</t>
  </si>
  <si>
    <t>R301</t>
  </si>
  <si>
    <t>10R 1% 200ppm 62.5mW Thick Film Resistor 0402</t>
  </si>
  <si>
    <t>AC0402FR-0710RL</t>
  </si>
  <si>
    <t>C144805</t>
  </si>
  <si>
    <t>YAG3438CT-ND</t>
  </si>
  <si>
    <t>603-AC0402FR-0710RL</t>
  </si>
  <si>
    <t>BRE-000292</t>
  </si>
  <si>
    <t>R304, R305, R802, R1207, R1604</t>
  </si>
  <si>
    <t>10k 1% 100ppm 62.5mW Thick Film Resistor 0402</t>
  </si>
  <si>
    <t>AC0402FR-0710KL</t>
  </si>
  <si>
    <t>C144807</t>
  </si>
  <si>
    <t>YAG3436CT-ND, YAG3436TR-ND</t>
  </si>
  <si>
    <t>BRE-001045</t>
  </si>
  <si>
    <t>R401, R402, R403</t>
  </si>
  <si>
    <t>100R 1% 200ppm 50mW Thick Film Resistor 0201</t>
  </si>
  <si>
    <t>0201WMF1000TEE</t>
  </si>
  <si>
    <t>C270366</t>
  </si>
  <si>
    <t>BRE-000342</t>
  </si>
  <si>
    <t>R404, R405</t>
  </si>
  <si>
    <t>470R 1% 100ppm 62.5mW Thick Film Resistor 0402</t>
  </si>
  <si>
    <t>RC0402FR-07470RL</t>
  </si>
  <si>
    <t>C114877</t>
  </si>
  <si>
    <t>311-470LRCT-ND, 311-470LRTR-ND</t>
  </si>
  <si>
    <t>BRE-000369</t>
  </si>
  <si>
    <t>R406, R407, R703, R704</t>
  </si>
  <si>
    <t>75R 1% 100ppm 62.5mW Thick Film Resistor 0402</t>
  </si>
  <si>
    <t>RC0402FR-0775RL</t>
  </si>
  <si>
    <t>C114757</t>
  </si>
  <si>
    <t>311-75.0LRCT-ND, 311-75.0LRTR-ND</t>
  </si>
  <si>
    <t>BRE-001148</t>
  </si>
  <si>
    <t>R408, R1601, R1602</t>
  </si>
  <si>
    <t>0 Ohms Jumper Chip Resistor 0603 (1608 Metric) Automotive AEC-Q200, Current Sense Metal Element</t>
  </si>
  <si>
    <t>TLRZ1JTTD</t>
  </si>
  <si>
    <t>C782253</t>
  </si>
  <si>
    <t>BRE-000324</t>
  </si>
  <si>
    <t>R413, R414, R502</t>
  </si>
  <si>
    <t>2k 1% 100ppm 62.5mW Thick Film Resistor 0402</t>
  </si>
  <si>
    <t>RC0402FR-072KL</t>
  </si>
  <si>
    <t>C60488</t>
  </si>
  <si>
    <t>311-2KLRCT-ND, 311-2KLRTR-ND</t>
  </si>
  <si>
    <t>BRE-001172</t>
  </si>
  <si>
    <t>R501</t>
  </si>
  <si>
    <t>20k 1% 200ppm 50mW Thick Film Resistor 0201</t>
  </si>
  <si>
    <t>RC0201FR-0720KL</t>
  </si>
  <si>
    <t>C295787</t>
  </si>
  <si>
    <t>BRE-000326</t>
  </si>
  <si>
    <t>R701, R702, R708, R709, R710, R711</t>
  </si>
  <si>
    <t>2.49k 1% 100ppm 62.5mW Thick Film Resistor 0402</t>
  </si>
  <si>
    <t>RC0402FR-072K49L</t>
  </si>
  <si>
    <t>C145071</t>
  </si>
  <si>
    <t>311-2.49KLRCT-ND, 311-2.49KLRTR-ND</t>
  </si>
  <si>
    <t>BRE-000367</t>
  </si>
  <si>
    <t>R705</t>
  </si>
  <si>
    <t>6.49k 1% 100ppm 62.5mW Thick Film Resistor 0402</t>
  </si>
  <si>
    <t>RC0402FR-076K49L</t>
  </si>
  <si>
    <t>C364360</t>
  </si>
  <si>
    <t>311-6.49KLRCT-ND</t>
  </si>
  <si>
    <t>603-RC0402FR-076K49L</t>
  </si>
  <si>
    <t>BRE-000327</t>
  </si>
  <si>
    <t>R706</t>
  </si>
  <si>
    <t>30k 1% 100ppm 62.5mW Thick Film Resistor 0402</t>
  </si>
  <si>
    <t>RC0402FR-0730KL</t>
  </si>
  <si>
    <t>C138008</t>
  </si>
  <si>
    <t>311-30.0KLRCT-ND, 311-30.0KLRTR-ND</t>
  </si>
  <si>
    <t>BRE-000309</t>
  </si>
  <si>
    <t>R707</t>
  </si>
  <si>
    <t>1M 1% 100ppm 62.5mW Thick Film Resistor 0402</t>
  </si>
  <si>
    <t>AC0402FR-071ML</t>
  </si>
  <si>
    <t>C144787</t>
  </si>
  <si>
    <t>YAG3450CT-ND</t>
  </si>
  <si>
    <t>603-AC0402FR-071ML</t>
  </si>
  <si>
    <t>BRE-000317</t>
  </si>
  <si>
    <t>R801</t>
  </si>
  <si>
    <t>20k 1% 100ppm 62.5mW Thick Film Resistor 0402</t>
  </si>
  <si>
    <t>RC0402FR-0720KL</t>
  </si>
  <si>
    <t>C93942</t>
  </si>
  <si>
    <t>311-20.0KLRCT-ND, 311-20.0KLRTR-ND</t>
  </si>
  <si>
    <t>BRE-001229</t>
  </si>
  <si>
    <t>R804, R1301</t>
  </si>
  <si>
    <t>51k 1% 100ppm 62.5mW Thick Film Resistor 0402</t>
  </si>
  <si>
    <t>RC0402FR-0751KL</t>
  </si>
  <si>
    <t>C107229</t>
  </si>
  <si>
    <t>311-51.0KLRCT-ND</t>
  </si>
  <si>
    <t>603-RC0402FR-0751KL</t>
  </si>
  <si>
    <t>BRE-000325</t>
  </si>
  <si>
    <t>R807, R1203</t>
  </si>
  <si>
    <t>2.2k 1% 100ppm 62.5mW Thick Film Resistor 0402</t>
  </si>
  <si>
    <t>RC0402FR-072K2L</t>
  </si>
  <si>
    <t>C114762</t>
  </si>
  <si>
    <t>311-2.20KLRCT-ND, 311-2.20KLRTR-ND</t>
  </si>
  <si>
    <t>BRE-001239</t>
  </si>
  <si>
    <t>R808, R1208</t>
  </si>
  <si>
    <t>24.9k 1% 100ppm 62.5mW Thick Film Resistor 0402</t>
  </si>
  <si>
    <t>RC0402FR-0724K9L</t>
  </si>
  <si>
    <t>C138027</t>
  </si>
  <si>
    <t>311-24.9KLRCT-ND</t>
  </si>
  <si>
    <t>603-RC0402FR-0724K9L</t>
  </si>
  <si>
    <t>BRE-000353</t>
  </si>
  <si>
    <t>R809</t>
  </si>
  <si>
    <t>4.99k 1% 100ppm 62.5mW Thick Film Resistor 0402</t>
  </si>
  <si>
    <t>RC0402FR-074K99L</t>
  </si>
  <si>
    <t>C137965</t>
  </si>
  <si>
    <t>311-4.99KLRCT-ND, 311-4.99KLRTR-ND</t>
  </si>
  <si>
    <t>BRE-000364</t>
  </si>
  <si>
    <t>R810</t>
  </si>
  <si>
    <t>681R 1% 100ppm 62.5mW Thick Film Resistor 0402</t>
  </si>
  <si>
    <t>RC0402FR-07681RL</t>
  </si>
  <si>
    <t>C245891</t>
  </si>
  <si>
    <t>YAG2375CT-ND</t>
  </si>
  <si>
    <t>603-RC0402FR-07681RL</t>
  </si>
  <si>
    <t>BRE-000337</t>
  </si>
  <si>
    <t>R811</t>
  </si>
  <si>
    <t>3k 1% 100ppm 62.5mW Thick Film Resistor 0402</t>
  </si>
  <si>
    <t>RC0402FR-073KL</t>
  </si>
  <si>
    <t>C137987</t>
  </si>
  <si>
    <t>311-3KLRCT-ND, 311-3KLRTR-ND</t>
  </si>
  <si>
    <t>BRE-001254</t>
  </si>
  <si>
    <t>R1001, R1002, R1004, R1005</t>
  </si>
  <si>
    <t>1M 1% 200ppm 50mW Thick Film Resistor 0201</t>
  </si>
  <si>
    <t>RC0201FR-071ML</t>
  </si>
  <si>
    <t>C295786</t>
  </si>
  <si>
    <t>BRE-001166</t>
  </si>
  <si>
    <t>R1007, R1008, R1009, R1010</t>
  </si>
  <si>
    <t>100k 1% 200ppm 50mW Thick Film Resistor 0201</t>
  </si>
  <si>
    <t>RC0201FR-07100KL</t>
  </si>
  <si>
    <t>C106224</t>
  </si>
  <si>
    <t>BRE-000314</t>
  </si>
  <si>
    <t>R1011</t>
  </si>
  <si>
    <t>200R 1% 100ppm 62.5mW Thick Film Resistor 0402</t>
  </si>
  <si>
    <t>RC0402FR-07200RL</t>
  </si>
  <si>
    <t>C114764</t>
  </si>
  <si>
    <t>311-200LRCT-ND, 311-200LRTR-ND</t>
  </si>
  <si>
    <t>BRE-001262</t>
  </si>
  <si>
    <t>R1012</t>
  </si>
  <si>
    <t>50k 25% 150mW 1-Turn Potentiometer SMD</t>
  </si>
  <si>
    <t>VGF39NCHXT-B503</t>
  </si>
  <si>
    <t>C22461637</t>
  </si>
  <si>
    <t>BRE-001256</t>
  </si>
  <si>
    <t>R1013, R1014</t>
  </si>
  <si>
    <t>1k 1% 100ppm 500mW Thick Film Resistor 1210</t>
  </si>
  <si>
    <t>FRC1210F1001TS</t>
  </si>
  <si>
    <t>C2960861</t>
  </si>
  <si>
    <t>BRE-001049</t>
  </si>
  <si>
    <t>R1015</t>
  </si>
  <si>
    <t>10mR 1% 1500ppm 250mW Thick Film Resistor 0805</t>
  </si>
  <si>
    <t>RL0805FR-7W0R01L</t>
  </si>
  <si>
    <t>C326784</t>
  </si>
  <si>
    <t>311-.01LUTR-ND</t>
  </si>
  <si>
    <t>603-RL0805FR-7W0R01L</t>
  </si>
  <si>
    <t>BRE-000341</t>
  </si>
  <si>
    <t>R1101</t>
  </si>
  <si>
    <t>45.3k 1% 100ppm 62.5mW Thick Film Resistor 0402</t>
  </si>
  <si>
    <t>RC0402FR-0745K3L</t>
  </si>
  <si>
    <t>C137977</t>
  </si>
  <si>
    <t>311-45.3KLRCT-ND, 311-45.3KLRTR-ND</t>
  </si>
  <si>
    <t>BRE-001251</t>
  </si>
  <si>
    <t>R1103</t>
  </si>
  <si>
    <t>1.3k 1% 100ppm 62.5mW Thick Film Resistor 0402</t>
  </si>
  <si>
    <t>RC0402FR-071K3L</t>
  </si>
  <si>
    <t>C185455</t>
  </si>
  <si>
    <t>YAG3036CT-ND</t>
  </si>
  <si>
    <t>603-RC0402FR-071K3L</t>
  </si>
  <si>
    <t>BRE-000268</t>
  </si>
  <si>
    <t>R1201</t>
  </si>
  <si>
    <t>1k 1% 200ppm 50mW Thick Film Resistor 0201</t>
  </si>
  <si>
    <t>RC0201FR-071KL</t>
  </si>
  <si>
    <t>C138165</t>
  </si>
  <si>
    <t>311-1KMCT-ND</t>
  </si>
  <si>
    <t>603-RC0201FR-071KL</t>
  </si>
  <si>
    <t>BRE-000365</t>
  </si>
  <si>
    <t>R1202</t>
  </si>
  <si>
    <t>68.1k 1% 100ppm 62.5mW Thick Film Resistor 0402</t>
  </si>
  <si>
    <t>RC0402FR-0768K1L</t>
  </si>
  <si>
    <t>C276276</t>
  </si>
  <si>
    <t>YAG3213CT-ND, YAG3213TR-ND</t>
  </si>
  <si>
    <t>BRE-000370</t>
  </si>
  <si>
    <t>R1204</t>
  </si>
  <si>
    <t>75k 1% 100ppm 62.5mW Thick Film Resistor 0402</t>
  </si>
  <si>
    <t>RC0402FR-0775KL</t>
  </si>
  <si>
    <t>C137935</t>
  </si>
  <si>
    <t>311-75KLRCT-ND, 311-75KLRTR-ND</t>
  </si>
  <si>
    <t>BRE-001276</t>
  </si>
  <si>
    <t>R1205</t>
  </si>
  <si>
    <t>3mR 1% 50ppm 2W Resistor 2512</t>
  </si>
  <si>
    <t>PA2512FKE7W0R003E</t>
  </si>
  <si>
    <t>C728307</t>
  </si>
  <si>
    <t>13-PA2512FKE7W0R003ECT-ND</t>
  </si>
  <si>
    <t>603-PA2512FKE7W0R3E</t>
  </si>
  <si>
    <t>BRE-000302</t>
  </si>
  <si>
    <t>R1206</t>
  </si>
  <si>
    <t>137k 1% 100ppm 62.5mW Thick Film Resistor 0402</t>
  </si>
  <si>
    <t>RC0402FR-07137KL</t>
  </si>
  <si>
    <t>C138058</t>
  </si>
  <si>
    <t>YAG2972CT-ND, YAG2972TR-ND</t>
  </si>
  <si>
    <t>BRE-001235</t>
  </si>
  <si>
    <t>R1302</t>
  </si>
  <si>
    <t>13.3k 1% 100ppm 62.5mW Thick Film Resistor 0402</t>
  </si>
  <si>
    <t>RC0402FR-0713K3L</t>
  </si>
  <si>
    <t>C274352</t>
  </si>
  <si>
    <t>BRE-000361</t>
  </si>
  <si>
    <t>R1303</t>
  </si>
  <si>
    <t>62k 1% 100ppm 62.5mW Thick Film Resistor 0402</t>
  </si>
  <si>
    <t>RC0402FR-0762KL</t>
  </si>
  <si>
    <t>C137950</t>
  </si>
  <si>
    <t>311-62.0KLRCT-ND, 311-62.0KLRTR-ND</t>
  </si>
  <si>
    <t>BRE-001286</t>
  </si>
  <si>
    <t>R1603</t>
  </si>
  <si>
    <t>330k 1% 100ppm 62.5mW Thick Film Resistor 0402</t>
  </si>
  <si>
    <t>RC0402FR-07330KL</t>
  </si>
  <si>
    <t>C138006</t>
  </si>
  <si>
    <t>311-330KLRCT-ND</t>
  </si>
  <si>
    <t>603-RC0402FR-07330KL</t>
  </si>
  <si>
    <t>BRE-001302</t>
  </si>
  <si>
    <t>SH401</t>
  </si>
  <si>
    <t>RF Shield Shield, 2-Piece 1.000" (25.40mm) X 1.500" (38.10mm) Non-Vented Through Hole</t>
  </si>
  <si>
    <t>44-CBSA-1.0X1.5X0.4</t>
  </si>
  <si>
    <t>1798-1027-ND</t>
  </si>
  <si>
    <t>861-44A101504</t>
  </si>
  <si>
    <t>BRE-001219</t>
  </si>
  <si>
    <t>T101</t>
  </si>
  <si>
    <t>Pot Core Transformer Mounting Assembly 18mmx11mm</t>
  </si>
  <si>
    <t>B65655B0010X000</t>
  </si>
  <si>
    <t>495-5153-ND</t>
  </si>
  <si>
    <t>871-B65655B0010X000</t>
  </si>
  <si>
    <t>BRE-000237</t>
  </si>
  <si>
    <t>T701</t>
  </si>
  <si>
    <t>10/100Base-T Single Port Transformer Magnetics Module</t>
  </si>
  <si>
    <t>HR641680E</t>
  </si>
  <si>
    <t>C189555</t>
  </si>
  <si>
    <t>BRE-000391</t>
  </si>
  <si>
    <t>TH101</t>
  </si>
  <si>
    <t>10k 1% 3380k NTC Thermistor 0201</t>
  </si>
  <si>
    <t>NCP03XH103F05RL</t>
  </si>
  <si>
    <t>C98098</t>
  </si>
  <si>
    <t>490-11806-2-ND</t>
  </si>
  <si>
    <t>81-NCP03XH103F05RL</t>
  </si>
  <si>
    <t>BRE-000074</t>
  </si>
  <si>
    <t>TP101, TP102, TP103, TP104, TP401, TP402, TP501, TP502, TP503, TP504, TP505, TP601, TP801, TP802, TP1001, TP1002, TP1003, TP1004, TP1101, TP1102, TP1201, TP1202, TP1301, TP1302, TP1401, TP1402, TP1501, TP1502</t>
  </si>
  <si>
    <t>Ring Test Point for Probe(s) PTH</t>
  </si>
  <si>
    <t>RH-5000</t>
  </si>
  <si>
    <t>C5277086</t>
  </si>
  <si>
    <t>BRE-000388</t>
  </si>
  <si>
    <t>U101</t>
  </si>
  <si>
    <t>Accelerometer X, Y, Z Axis ±2g, 4g, 8g, 16g 0.5Hz ~ 672Hz 12-LGA (2x2)</t>
  </si>
  <si>
    <t>LIS2DH12TR</t>
  </si>
  <si>
    <t>C110926</t>
  </si>
  <si>
    <t>497-14851-1-ND</t>
  </si>
  <si>
    <t>511-LIS2DH12TR</t>
  </si>
  <si>
    <t>BRE-001075</t>
  </si>
  <si>
    <t>U301</t>
  </si>
  <si>
    <t>ARM® Cortex®-M33 STM32H5 Microcontroller IC 32-Bit 250MHz 2MB (2M x 8) FLASH 169-UFBGA (7x7) WITH STEPDOWN SMPS, high temp: -40~125C</t>
  </si>
  <si>
    <t>STM32H563AII3Q</t>
  </si>
  <si>
    <t>C28992049</t>
  </si>
  <si>
    <t>497-STM32H563AII3Q-ND</t>
  </si>
  <si>
    <t>511-STM32H563AII3Q</t>
  </si>
  <si>
    <t>BRE-001224</t>
  </si>
  <si>
    <t>U401</t>
  </si>
  <si>
    <t>Dual Channel High-Voltage Protection T/R Switch</t>
  </si>
  <si>
    <t>MD0100DK6-G</t>
  </si>
  <si>
    <t>MD0100DK6-GCT-ND</t>
  </si>
  <si>
    <t>BRE-001220</t>
  </si>
  <si>
    <t>U402</t>
  </si>
  <si>
    <t>Dual Channel Low-noise SOIC-8 Audio Amplifier</t>
  </si>
  <si>
    <t>OPA1612AIDR</t>
  </si>
  <si>
    <t>C94590</t>
  </si>
  <si>
    <t>BRE-001210</t>
  </si>
  <si>
    <t>U403</t>
  </si>
  <si>
    <t>18 MHz Variable Gain Amplifier</t>
  </si>
  <si>
    <t>AD8338ACPZ-R7</t>
  </si>
  <si>
    <t>C578701</t>
  </si>
  <si>
    <t>BRE-001218</t>
  </si>
  <si>
    <t>U404</t>
  </si>
  <si>
    <t>Dual Operational Amplifier MSOP-8 Low Vos ROHS</t>
  </si>
  <si>
    <t>WS72552M-8/TR</t>
  </si>
  <si>
    <t>C717866</t>
  </si>
  <si>
    <t>BRE-001241</t>
  </si>
  <si>
    <t>U601, U602, U1202</t>
  </si>
  <si>
    <t>10 Bit Digital to Analog Converter, I2C Interface, 8-WSON (2x2)</t>
  </si>
  <si>
    <t>DAC53401DSGR</t>
  </si>
  <si>
    <t>C1855756</t>
  </si>
  <si>
    <t>296-DAC53401DSGRCT-ND</t>
  </si>
  <si>
    <t>595-DAC53401DSGR</t>
  </si>
  <si>
    <t>BRE-001264</t>
  </si>
  <si>
    <t>U603</t>
  </si>
  <si>
    <t>Analog Switch IC, 1 Circuit IC Switch 1:1, 10Ohm, 5-TSSOP</t>
  </si>
  <si>
    <t>74LVC1G66GW,125</t>
  </si>
  <si>
    <t>C97489</t>
  </si>
  <si>
    <t>1727-4118-1-ND</t>
  </si>
  <si>
    <t>771-74LVC1G66GW-G</t>
  </si>
  <si>
    <t>BRE-000162</t>
  </si>
  <si>
    <t>U701</t>
  </si>
  <si>
    <t>Ethernet Interface 10/100Mbps PHY 32-VQFN (5x5)</t>
  </si>
  <si>
    <t>DP83825IRMQR</t>
  </si>
  <si>
    <t>C783599</t>
  </si>
  <si>
    <t>296-DP83825IRMQRCT-ND</t>
  </si>
  <si>
    <t>595-DP83825IRMQR</t>
  </si>
  <si>
    <t>BRE-001217</t>
  </si>
  <si>
    <t>U801</t>
  </si>
  <si>
    <t>Buck Switching Regulator, Adjustable, 8A, 600mV~32V, 4.5V~70V, VQFN-32(6x6)</t>
  </si>
  <si>
    <t>MIC28517T-E/PHA</t>
  </si>
  <si>
    <t>C623943</t>
  </si>
  <si>
    <t>150-MIC28517T-E/PHACT-ND</t>
  </si>
  <si>
    <t>579-MIC28517T-E/PHA</t>
  </si>
  <si>
    <t>BRE-001273</t>
  </si>
  <si>
    <t>U901</t>
  </si>
  <si>
    <t>PSRAM (Pseudo SRAM) Memory IC 64Mbit HyperBus 166 MHz 36 ns 24-FBGA (6x8)</t>
  </si>
  <si>
    <t>S27KL0642DPBHB023</t>
  </si>
  <si>
    <t>C5157921</t>
  </si>
  <si>
    <t>448-S27KL0642DPBHB023CT-ND</t>
  </si>
  <si>
    <t>727-S27KL0642DPBHB23</t>
  </si>
  <si>
    <t>BRE-001253</t>
  </si>
  <si>
    <t>U1001</t>
  </si>
  <si>
    <t>Dual General Purpose Amplifier RRIO 25MHz 1.5-5.5V SOT-23-8L</t>
  </si>
  <si>
    <t>SL9062D</t>
  </si>
  <si>
    <t>C18208632</t>
  </si>
  <si>
    <t>BRE-001244</t>
  </si>
  <si>
    <t>U1002</t>
  </si>
  <si>
    <t>2 Channel Line Driver 40V 500mA 500V/us 200MHz Class AB Output TSSOP-20</t>
  </si>
  <si>
    <t>LT1794CFE#PBF</t>
  </si>
  <si>
    <t>C665306</t>
  </si>
  <si>
    <t>505-LT1794CFE#PBF-ND</t>
  </si>
  <si>
    <t>Analog Devices: LT1794CFE#PBF</t>
  </si>
  <si>
    <t>BRE-001043</t>
  </si>
  <si>
    <t>U1003</t>
  </si>
  <si>
    <t>0V-76V Single channel SOT-23-5 Current Sense Amplifier</t>
  </si>
  <si>
    <t>CSA230PASOT235</t>
  </si>
  <si>
    <t>C6807602</t>
  </si>
  <si>
    <t>BRE-000206</t>
  </si>
  <si>
    <t>U1101</t>
  </si>
  <si>
    <t>Buck Converter, 2.5 - 5.5V Input, 2A, 0.6 - 5.5V Output, 1.5MHz, SOT23-5 (2.9x2.8)</t>
  </si>
  <si>
    <t>TLV62569DBVR</t>
  </si>
  <si>
    <t>C141836</t>
  </si>
  <si>
    <t>296-47360-1-ND</t>
  </si>
  <si>
    <t>595-TLV62569DBVR</t>
  </si>
  <si>
    <t>BRE-000192</t>
  </si>
  <si>
    <t>U1201</t>
  </si>
  <si>
    <t>Boost Controller, 3 - 65V Input, 1Mhz, HTSSOP-20 (6.9x6.4)</t>
  </si>
  <si>
    <t>LM5122MHX/NOPB</t>
  </si>
  <si>
    <t>C77241</t>
  </si>
  <si>
    <t>296-43644-1-ND</t>
  </si>
  <si>
    <t>595-LM5122MHX/NOPB</t>
  </si>
  <si>
    <t>BRE-000190</t>
  </si>
  <si>
    <t>U1301</t>
  </si>
  <si>
    <t>Boost Converter, 2.7 - 14V Input, 800mA, 2.7 - 30V Output, 1.6Mhz, SOT23-5 (2.9x1.6)</t>
  </si>
  <si>
    <t>LM27313XMFX/NOPB</t>
  </si>
  <si>
    <t>C341750</t>
  </si>
  <si>
    <t>296-35164-1-ND</t>
  </si>
  <si>
    <t>926-LM27313XMFX/NOPB</t>
  </si>
  <si>
    <t>BRE-001237</t>
  </si>
  <si>
    <t>U1401</t>
  </si>
  <si>
    <t>Linear Regulator, 7 - 30V Input, 170mA, 5V Output, SOT23-3</t>
  </si>
  <si>
    <t>MG78L05T3</t>
  </si>
  <si>
    <t>C22396244</t>
  </si>
  <si>
    <t>BRE-001274</t>
  </si>
  <si>
    <t>U1501, U1502</t>
  </si>
  <si>
    <t>Half Bridge Driver DC Motors, DC-DC Converters Gallium Nitride (GaN) FETs 13-WQFN-HR (3.5x5)</t>
  </si>
  <si>
    <t>EPC23104ENGRT</t>
  </si>
  <si>
    <t>C5448592</t>
  </si>
  <si>
    <t>917-EPC23104ENGRTCT-ND</t>
  </si>
  <si>
    <t>BRE-001284</t>
  </si>
  <si>
    <t>U1601</t>
  </si>
  <si>
    <t>Bipolar Motor Driver Power MOSFET Step/Direction 24-VQFN (4x4)</t>
  </si>
  <si>
    <t>DRV8426RGER</t>
  </si>
  <si>
    <t>C1518727</t>
  </si>
  <si>
    <t>296-DRV8426RGERCT-ND</t>
  </si>
  <si>
    <t>595-DRV8426RGER</t>
  </si>
  <si>
    <t>BRE-000257</t>
  </si>
  <si>
    <t>X301</t>
  </si>
  <si>
    <t>25 MHz Crystal 8pF ±25ppm 4-SMD2016 (2x1.6)</t>
  </si>
  <si>
    <t>NX2016SA-25MHZ-STD-CZS-2</t>
  </si>
  <si>
    <t>C843258</t>
  </si>
  <si>
    <t>Total BOM Cost: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</si>
</sst>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FFBD"/>
        <bgColor indexed="64"/>
      </patternFill>
    </fill>
    <fill>
      <patternFill patternType="solid">
        <fgColor rgb="FFFCFC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4A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">
    <dxf>
      <fill>
        <patternFill>
          <bgColor rgb="FFFFB4A4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FFF0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C2FFBD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CFCB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showGridLines="0" tabSelected="1" workbookViewId="0"/>
  </sheetViews>
  <sheetFormatPr defaultRowHeight="15"/>
  <cols>
    <col min="1" max="1" width="21.85546875" bestFit="1" customWidth="1"/>
    <col min="2" max="2" width="30.7109375" customWidth="1"/>
    <col min="3" max="3" width="128.140625" bestFit="1" customWidth="1"/>
    <col min="4" max="4" width="14.7109375" bestFit="1" customWidth="1"/>
    <col min="5" max="5" width="13.5703125" bestFit="1" customWidth="1"/>
    <col min="6" max="6" width="26.140625" bestFit="1" customWidth="1"/>
    <col min="7" max="7" width="12.5703125" bestFit="1" customWidth="1"/>
    <col min="8" max="8" width="8.85546875" bestFit="1" customWidth="1"/>
    <col min="9" max="9" width="23" bestFit="1" customWidth="1"/>
    <col min="10" max="10" width="11.5703125" bestFit="1" customWidth="1"/>
    <col min="11" max="11" width="60" bestFit="1" customWidth="1"/>
    <col min="12" max="12" width="23.28515625" bestFit="1" customWidth="1"/>
    <col min="13" max="13" width="28.7109375" bestFit="1" customWidth="1"/>
    <col min="14" max="14" width="15" bestFit="1" customWidth="1"/>
    <col min="15" max="15" width="19" bestFit="1" customWidth="1"/>
  </cols>
  <sheetData>
    <row r="1" spans="1:15">
      <c r="A1" s="1" t="s">
        <v>0</v>
      </c>
      <c r="B1" s="2">
        <v>5</v>
      </c>
      <c r="C1" s="3" t="s">
        <v>1</v>
      </c>
    </row>
    <row r="2" spans="1:15">
      <c r="A2" s="4"/>
      <c r="B2" s="4"/>
    </row>
    <row r="3" spans="1:15">
      <c r="A3" s="3" t="s">
        <v>2</v>
      </c>
      <c r="B3" t="s">
        <v>3</v>
      </c>
      <c r="C3" s="5"/>
    </row>
    <row r="4" spans="1:15">
      <c r="A4" s="3" t="s">
        <v>4</v>
      </c>
      <c r="B4" t="s">
        <v>5</v>
      </c>
      <c r="C4" s="5"/>
    </row>
    <row r="5" spans="1:15">
      <c r="A5" s="3" t="s">
        <v>6</v>
      </c>
      <c r="B5" t="s">
        <v>7</v>
      </c>
      <c r="C5" s="5"/>
    </row>
    <row r="6" spans="1:15">
      <c r="A6" s="6"/>
      <c r="B6" s="6"/>
    </row>
    <row r="7" spans="1:15">
      <c r="A7" s="4"/>
    </row>
    <row r="8" spans="1:15">
      <c r="A8" s="7" t="s">
        <v>8</v>
      </c>
      <c r="B8" s="5"/>
    </row>
    <row r="9" spans="1:15">
      <c r="A9" s="8" t="s">
        <v>9</v>
      </c>
      <c r="B9" s="5"/>
    </row>
    <row r="10" spans="1:15">
      <c r="A10" s="9" t="s">
        <v>10</v>
      </c>
      <c r="B10" s="5"/>
    </row>
    <row r="11" spans="1:15">
      <c r="A11" s="10" t="s">
        <v>11</v>
      </c>
      <c r="B11" s="5"/>
    </row>
    <row r="12" spans="1:15">
      <c r="A12" s="11" t="s">
        <v>12</v>
      </c>
      <c r="B12" s="5"/>
    </row>
    <row r="13" spans="1:15">
      <c r="A13" s="6"/>
    </row>
    <row r="14" spans="1:15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  <c r="G14" s="12" t="s">
        <v>19</v>
      </c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2" t="s">
        <v>27</v>
      </c>
    </row>
    <row r="15" spans="1:15">
      <c r="A15" t="s">
        <v>30</v>
      </c>
      <c r="B15" t="s">
        <v>31</v>
      </c>
      <c r="C15" t="s">
        <v>32</v>
      </c>
      <c r="D15">
        <v>15</v>
      </c>
      <c r="E15">
        <f>B1*15</f>
        <v>75</v>
      </c>
      <c r="F15" t="s">
        <v>34</v>
      </c>
      <c r="G15" t="s">
        <v>35</v>
      </c>
      <c r="H15">
        <v>7175</v>
      </c>
      <c r="I15">
        <v>0</v>
      </c>
      <c r="K15" t="s">
        <v>36</v>
      </c>
      <c r="L15" t="s">
        <v>37</v>
      </c>
      <c r="N15" s="13">
        <v>0.01</v>
      </c>
      <c r="O15" s="13">
        <f>N15*15</f>
        <v>0.15</v>
      </c>
    </row>
    <row r="16" spans="1:15">
      <c r="A16" t="s">
        <v>38</v>
      </c>
      <c r="B16" t="s">
        <v>39</v>
      </c>
      <c r="C16" t="s">
        <v>40</v>
      </c>
      <c r="D16">
        <v>9</v>
      </c>
      <c r="E16">
        <f>B1*9</f>
        <v>45</v>
      </c>
      <c r="F16" t="s">
        <v>41</v>
      </c>
      <c r="G16" t="s">
        <v>42</v>
      </c>
      <c r="H16">
        <v>715</v>
      </c>
      <c r="I16">
        <v>0</v>
      </c>
      <c r="K16" t="s">
        <v>43</v>
      </c>
      <c r="L16" t="s">
        <v>44</v>
      </c>
      <c r="N16" s="13">
        <v>0.11</v>
      </c>
      <c r="O16" s="13">
        <f>N16*9</f>
        <v>0.99</v>
      </c>
    </row>
    <row r="17" spans="1:15">
      <c r="A17" t="s">
        <v>45</v>
      </c>
      <c r="B17" t="s">
        <v>46</v>
      </c>
      <c r="C17" t="s">
        <v>47</v>
      </c>
      <c r="D17">
        <v>27</v>
      </c>
      <c r="E17">
        <f>B1*27</f>
        <v>135</v>
      </c>
      <c r="F17" t="s">
        <v>48</v>
      </c>
      <c r="G17" t="s">
        <v>49</v>
      </c>
      <c r="H17">
        <v>9415</v>
      </c>
      <c r="I17">
        <v>0</v>
      </c>
      <c r="J17" t="s">
        <v>50</v>
      </c>
      <c r="K17" t="s">
        <v>51</v>
      </c>
      <c r="L17" t="s">
        <v>52</v>
      </c>
      <c r="N17" s="13">
        <v>0.01</v>
      </c>
      <c r="O17" s="13">
        <f>N17*27</f>
        <v>0.27</v>
      </c>
    </row>
    <row r="18" spans="1:15">
      <c r="A18" t="s">
        <v>53</v>
      </c>
      <c r="B18" t="s">
        <v>54</v>
      </c>
      <c r="C18" t="s">
        <v>55</v>
      </c>
      <c r="D18">
        <v>4</v>
      </c>
      <c r="E18">
        <f>B1*4</f>
        <v>20</v>
      </c>
      <c r="F18" t="s">
        <v>56</v>
      </c>
      <c r="G18" t="s">
        <v>57</v>
      </c>
      <c r="H18">
        <v>710</v>
      </c>
      <c r="I18">
        <v>0</v>
      </c>
      <c r="K18" t="s">
        <v>58</v>
      </c>
      <c r="L18" t="s">
        <v>59</v>
      </c>
      <c r="N18" s="13">
        <v>0.2</v>
      </c>
      <c r="O18" s="13">
        <f>N18*4</f>
        <v>0.8</v>
      </c>
    </row>
    <row r="19" spans="1:15">
      <c r="A19" t="s">
        <v>60</v>
      </c>
      <c r="B19" t="s">
        <v>61</v>
      </c>
      <c r="C19" t="s">
        <v>62</v>
      </c>
      <c r="D19">
        <v>2</v>
      </c>
      <c r="E19">
        <f>B1*2</f>
        <v>10</v>
      </c>
      <c r="F19" t="s">
        <v>63</v>
      </c>
      <c r="G19" t="s">
        <v>64</v>
      </c>
      <c r="H19">
        <v>790</v>
      </c>
      <c r="I19">
        <v>0</v>
      </c>
      <c r="K19" t="s">
        <v>65</v>
      </c>
      <c r="L19" t="s">
        <v>66</v>
      </c>
      <c r="N19" s="13">
        <v>0.03</v>
      </c>
      <c r="O19" s="13">
        <f>N19*2</f>
        <v>0.06</v>
      </c>
    </row>
    <row r="20" spans="1:15">
      <c r="A20" t="s">
        <v>67</v>
      </c>
      <c r="B20" t="s">
        <v>68</v>
      </c>
      <c r="C20" t="s">
        <v>69</v>
      </c>
      <c r="D20">
        <v>2</v>
      </c>
      <c r="E20">
        <f>B1*2</f>
        <v>10</v>
      </c>
      <c r="F20" t="s">
        <v>70</v>
      </c>
      <c r="G20" t="s">
        <v>71</v>
      </c>
      <c r="H20">
        <v>842</v>
      </c>
      <c r="I20">
        <v>0</v>
      </c>
      <c r="K20" t="s">
        <v>72</v>
      </c>
      <c r="L20" t="s">
        <v>73</v>
      </c>
      <c r="N20" s="13">
        <v>0.03</v>
      </c>
      <c r="O20" s="13">
        <f>N20*2</f>
        <v>0.06</v>
      </c>
    </row>
    <row r="21" spans="1:15">
      <c r="A21" t="s">
        <v>74</v>
      </c>
      <c r="B21" t="s">
        <v>75</v>
      </c>
      <c r="C21" t="s">
        <v>76</v>
      </c>
      <c r="D21">
        <v>2</v>
      </c>
      <c r="E21">
        <f>B1*2</f>
        <v>10</v>
      </c>
      <c r="F21" t="s">
        <v>77</v>
      </c>
      <c r="G21" t="s">
        <v>78</v>
      </c>
      <c r="H21">
        <v>2177</v>
      </c>
      <c r="I21">
        <v>0</v>
      </c>
      <c r="K21" t="s">
        <v>79</v>
      </c>
      <c r="L21" t="s">
        <v>80</v>
      </c>
      <c r="N21" s="13">
        <v>0.02</v>
      </c>
      <c r="O21" s="13">
        <f>N21*2</f>
        <v>0.04</v>
      </c>
    </row>
    <row r="22" spans="1:15">
      <c r="A22" t="s">
        <v>81</v>
      </c>
      <c r="B22" t="s">
        <v>82</v>
      </c>
      <c r="C22" t="s">
        <v>83</v>
      </c>
      <c r="D22">
        <v>2</v>
      </c>
      <c r="E22">
        <f>B1*2</f>
        <v>10</v>
      </c>
      <c r="F22" t="s">
        <v>84</v>
      </c>
      <c r="G22" t="s">
        <v>85</v>
      </c>
      <c r="H22">
        <v>368</v>
      </c>
      <c r="I22">
        <v>0</v>
      </c>
      <c r="K22" t="s">
        <v>86</v>
      </c>
      <c r="L22" t="s">
        <v>87</v>
      </c>
      <c r="N22" s="13">
        <v>0.05</v>
      </c>
      <c r="O22" s="13">
        <f>N22*2</f>
        <v>0.1</v>
      </c>
    </row>
    <row r="23" spans="1:15">
      <c r="A23" t="s">
        <v>88</v>
      </c>
      <c r="B23" t="s">
        <v>89</v>
      </c>
      <c r="C23" t="s">
        <v>90</v>
      </c>
      <c r="D23">
        <v>8</v>
      </c>
      <c r="E23">
        <f>B1*8</f>
        <v>40</v>
      </c>
      <c r="F23" t="s">
        <v>91</v>
      </c>
      <c r="G23" t="s">
        <v>92</v>
      </c>
      <c r="H23">
        <v>0</v>
      </c>
      <c r="I23">
        <v>0</v>
      </c>
      <c r="K23" t="s">
        <v>93</v>
      </c>
      <c r="L23" t="s">
        <v>94</v>
      </c>
      <c r="N23" s="13">
        <v>0.01</v>
      </c>
      <c r="O23" s="13">
        <f>N23*8</f>
        <v>0.08</v>
      </c>
    </row>
    <row r="24" spans="1:15">
      <c r="A24" t="s">
        <v>95</v>
      </c>
      <c r="B24" t="s">
        <v>96</v>
      </c>
      <c r="C24" t="s">
        <v>97</v>
      </c>
      <c r="D24">
        <v>2</v>
      </c>
      <c r="E24">
        <f>B1*2</f>
        <v>10</v>
      </c>
      <c r="F24" t="s">
        <v>98</v>
      </c>
      <c r="G24" t="s">
        <v>99</v>
      </c>
      <c r="H24">
        <v>1270</v>
      </c>
      <c r="I24">
        <v>0</v>
      </c>
      <c r="K24" t="s">
        <v>100</v>
      </c>
      <c r="L24" t="s">
        <v>101</v>
      </c>
      <c r="N24" s="13">
        <v>0.01</v>
      </c>
      <c r="O24" s="13">
        <f>N24*2</f>
        <v>0.02</v>
      </c>
    </row>
    <row r="25" spans="1:15">
      <c r="A25" t="s">
        <v>102</v>
      </c>
      <c r="B25" t="s">
        <v>103</v>
      </c>
      <c r="C25" t="s">
        <v>104</v>
      </c>
      <c r="D25">
        <v>3</v>
      </c>
      <c r="E25">
        <f>B1*3</f>
        <v>15</v>
      </c>
      <c r="F25" t="s">
        <v>105</v>
      </c>
      <c r="G25" t="s">
        <v>106</v>
      </c>
      <c r="H25">
        <v>2820</v>
      </c>
      <c r="I25">
        <v>0</v>
      </c>
      <c r="K25" t="s">
        <v>107</v>
      </c>
      <c r="L25" t="s">
        <v>108</v>
      </c>
      <c r="N25" s="13">
        <v>0.03</v>
      </c>
      <c r="O25" s="13">
        <f>N25*3</f>
        <v>0.09</v>
      </c>
    </row>
    <row r="26" spans="1:15">
      <c r="A26" t="s">
        <v>109</v>
      </c>
      <c r="B26" t="s">
        <v>110</v>
      </c>
      <c r="C26" t="s">
        <v>111</v>
      </c>
      <c r="D26">
        <v>1</v>
      </c>
      <c r="E26">
        <f>B1*1</f>
        <v>5</v>
      </c>
      <c r="F26" t="s">
        <v>112</v>
      </c>
      <c r="G26" t="s">
        <v>113</v>
      </c>
      <c r="H26">
        <v>19830</v>
      </c>
      <c r="I26">
        <v>0</v>
      </c>
      <c r="N26" s="13">
        <v>0.01</v>
      </c>
      <c r="O26" s="13">
        <f>N26*1</f>
        <v>0.01</v>
      </c>
    </row>
    <row r="27" spans="1:15">
      <c r="A27" t="s">
        <v>114</v>
      </c>
      <c r="B27" t="s">
        <v>115</v>
      </c>
      <c r="C27" t="s">
        <v>116</v>
      </c>
      <c r="D27">
        <v>6</v>
      </c>
      <c r="E27">
        <f>B1*6</f>
        <v>30</v>
      </c>
      <c r="F27" t="s">
        <v>117</v>
      </c>
      <c r="G27" t="s">
        <v>118</v>
      </c>
      <c r="H27">
        <v>148</v>
      </c>
      <c r="I27">
        <v>0</v>
      </c>
      <c r="J27" t="s">
        <v>119</v>
      </c>
      <c r="K27" t="s">
        <v>120</v>
      </c>
      <c r="N27" s="13">
        <v>0.01</v>
      </c>
      <c r="O27" s="13">
        <f>N27*6</f>
        <v>0.06</v>
      </c>
    </row>
    <row r="28" spans="1:15">
      <c r="A28" t="s">
        <v>121</v>
      </c>
      <c r="B28" t="s">
        <v>122</v>
      </c>
      <c r="C28" t="s">
        <v>123</v>
      </c>
      <c r="D28">
        <v>1</v>
      </c>
      <c r="E28">
        <f>B1*1</f>
        <v>5</v>
      </c>
      <c r="F28" t="s">
        <v>124</v>
      </c>
      <c r="G28" t="s">
        <v>125</v>
      </c>
      <c r="H28">
        <v>1000</v>
      </c>
      <c r="I28">
        <v>0</v>
      </c>
      <c r="N28" s="13">
        <v>0.01</v>
      </c>
      <c r="O28" s="13">
        <f>N28*1</f>
        <v>0.01</v>
      </c>
    </row>
    <row r="29" spans="1:15">
      <c r="A29" t="s">
        <v>126</v>
      </c>
      <c r="B29" t="s">
        <v>127</v>
      </c>
      <c r="C29" t="s">
        <v>128</v>
      </c>
      <c r="D29">
        <v>9</v>
      </c>
      <c r="E29">
        <f>B1*9</f>
        <v>45</v>
      </c>
      <c r="F29" t="s">
        <v>129</v>
      </c>
      <c r="G29" t="s">
        <v>130</v>
      </c>
      <c r="H29">
        <v>0</v>
      </c>
      <c r="I29">
        <v>0</v>
      </c>
      <c r="J29" t="s">
        <v>131</v>
      </c>
      <c r="K29" t="s">
        <v>132</v>
      </c>
      <c r="L29" t="s">
        <v>133</v>
      </c>
      <c r="N29" s="13">
        <v>0.02</v>
      </c>
      <c r="O29" s="13">
        <f>N29*9</f>
        <v>0.18</v>
      </c>
    </row>
    <row r="30" spans="1:15">
      <c r="A30" t="s">
        <v>134</v>
      </c>
      <c r="B30" t="s">
        <v>135</v>
      </c>
      <c r="C30" t="s">
        <v>136</v>
      </c>
      <c r="D30">
        <v>1</v>
      </c>
      <c r="E30">
        <f>B1*1</f>
        <v>5</v>
      </c>
      <c r="F30" t="s">
        <v>137</v>
      </c>
      <c r="G30" t="s">
        <v>138</v>
      </c>
      <c r="H30">
        <v>1000</v>
      </c>
      <c r="I30">
        <v>0</v>
      </c>
      <c r="K30" t="s">
        <v>139</v>
      </c>
      <c r="L30" t="s">
        <v>140</v>
      </c>
      <c r="N30" s="13">
        <v>0.01</v>
      </c>
      <c r="O30" s="13">
        <f>N30*1</f>
        <v>0.01</v>
      </c>
    </row>
    <row r="31" spans="1:15">
      <c r="A31" t="s">
        <v>141</v>
      </c>
      <c r="B31" t="s">
        <v>142</v>
      </c>
      <c r="C31" t="s">
        <v>143</v>
      </c>
      <c r="D31">
        <v>2</v>
      </c>
      <c r="E31">
        <f>B1*2</f>
        <v>10</v>
      </c>
      <c r="F31" t="s">
        <v>144</v>
      </c>
      <c r="G31" t="s">
        <v>145</v>
      </c>
      <c r="H31">
        <v>1000</v>
      </c>
      <c r="I31">
        <v>0</v>
      </c>
      <c r="N31" s="13">
        <v>0.01</v>
      </c>
      <c r="O31" s="13">
        <f>N31*2</f>
        <v>0.02</v>
      </c>
    </row>
    <row r="32" spans="1:15">
      <c r="A32" t="s">
        <v>146</v>
      </c>
      <c r="B32" t="s">
        <v>147</v>
      </c>
      <c r="C32" t="s">
        <v>148</v>
      </c>
      <c r="D32">
        <v>2</v>
      </c>
      <c r="E32">
        <f>B1*2</f>
        <v>10</v>
      </c>
      <c r="F32" t="s">
        <v>149</v>
      </c>
      <c r="G32" t="s">
        <v>150</v>
      </c>
      <c r="H32">
        <v>1000</v>
      </c>
      <c r="I32">
        <v>0</v>
      </c>
      <c r="K32" t="s">
        <v>151</v>
      </c>
      <c r="L32" t="s">
        <v>152</v>
      </c>
      <c r="N32" s="13">
        <v>0.01</v>
      </c>
      <c r="O32" s="13">
        <f>N32*2</f>
        <v>0.02</v>
      </c>
    </row>
    <row r="33" spans="1:15">
      <c r="A33" t="s">
        <v>153</v>
      </c>
      <c r="B33" t="s">
        <v>154</v>
      </c>
      <c r="C33" t="s">
        <v>155</v>
      </c>
      <c r="D33">
        <v>1</v>
      </c>
      <c r="E33">
        <f>B1*1</f>
        <v>5</v>
      </c>
      <c r="F33" t="s">
        <v>156</v>
      </c>
      <c r="G33" t="s">
        <v>157</v>
      </c>
      <c r="H33">
        <v>2061</v>
      </c>
      <c r="I33">
        <v>0</v>
      </c>
      <c r="K33" t="s">
        <v>158</v>
      </c>
      <c r="L33" t="s">
        <v>159</v>
      </c>
      <c r="N33" s="13">
        <v>0.01</v>
      </c>
      <c r="O33" s="13">
        <f>N33*1</f>
        <v>0.01</v>
      </c>
    </row>
    <row r="34" spans="1:15">
      <c r="A34" t="s">
        <v>160</v>
      </c>
      <c r="B34" t="s">
        <v>161</v>
      </c>
      <c r="C34" t="s">
        <v>162</v>
      </c>
      <c r="D34">
        <v>4</v>
      </c>
      <c r="E34">
        <f>B1*4</f>
        <v>20</v>
      </c>
      <c r="F34" t="s">
        <v>163</v>
      </c>
      <c r="G34" t="s">
        <v>164</v>
      </c>
      <c r="H34">
        <v>171</v>
      </c>
      <c r="I34">
        <v>0</v>
      </c>
      <c r="J34" t="s">
        <v>165</v>
      </c>
      <c r="K34" t="s">
        <v>166</v>
      </c>
      <c r="L34" t="s">
        <v>167</v>
      </c>
      <c r="N34" s="13">
        <v>0.06</v>
      </c>
      <c r="O34" s="13">
        <f>N34*4</f>
        <v>0.24</v>
      </c>
    </row>
    <row r="35" spans="1:15">
      <c r="A35" t="s">
        <v>168</v>
      </c>
      <c r="B35" t="s">
        <v>169</v>
      </c>
      <c r="C35" t="s">
        <v>170</v>
      </c>
      <c r="D35">
        <v>2</v>
      </c>
      <c r="E35">
        <f>B1*2</f>
        <v>10</v>
      </c>
      <c r="F35" t="s">
        <v>171</v>
      </c>
      <c r="G35" t="s">
        <v>172</v>
      </c>
      <c r="H35">
        <v>500</v>
      </c>
      <c r="I35">
        <v>0</v>
      </c>
      <c r="N35" s="13">
        <v>0.02</v>
      </c>
      <c r="O35" s="13">
        <f>N35*2</f>
        <v>0.04</v>
      </c>
    </row>
    <row r="36" spans="1:15">
      <c r="A36" t="s">
        <v>173</v>
      </c>
      <c r="B36" t="s">
        <v>174</v>
      </c>
      <c r="C36" t="s">
        <v>175</v>
      </c>
      <c r="D36">
        <v>2</v>
      </c>
      <c r="E36">
        <f>B1*2</f>
        <v>10</v>
      </c>
      <c r="F36" t="s">
        <v>176</v>
      </c>
      <c r="G36" t="s">
        <v>177</v>
      </c>
      <c r="H36">
        <v>2655</v>
      </c>
      <c r="I36">
        <v>0</v>
      </c>
      <c r="K36" t="s">
        <v>178</v>
      </c>
      <c r="L36" t="s">
        <v>179</v>
      </c>
      <c r="N36" s="13">
        <v>0.01</v>
      </c>
      <c r="O36" s="13">
        <f>N36*2</f>
        <v>0.02</v>
      </c>
    </row>
    <row r="37" spans="1:15">
      <c r="A37" t="s">
        <v>180</v>
      </c>
      <c r="B37" t="s">
        <v>181</v>
      </c>
      <c r="C37" t="s">
        <v>182</v>
      </c>
      <c r="D37">
        <v>2</v>
      </c>
      <c r="E37">
        <f>B1*2</f>
        <v>10</v>
      </c>
      <c r="F37" t="s">
        <v>183</v>
      </c>
      <c r="G37" t="s">
        <v>184</v>
      </c>
      <c r="H37">
        <v>16340</v>
      </c>
      <c r="I37">
        <v>0</v>
      </c>
      <c r="K37" t="s">
        <v>185</v>
      </c>
      <c r="L37" t="s">
        <v>186</v>
      </c>
      <c r="N37" s="13">
        <v>0.01</v>
      </c>
      <c r="O37" s="13">
        <f>N37*2</f>
        <v>0.02</v>
      </c>
    </row>
    <row r="38" spans="1:15">
      <c r="A38" t="s">
        <v>187</v>
      </c>
      <c r="B38" t="s">
        <v>188</v>
      </c>
      <c r="C38" t="s">
        <v>189</v>
      </c>
      <c r="D38">
        <v>1</v>
      </c>
      <c r="E38">
        <f>B1*1</f>
        <v>5</v>
      </c>
      <c r="F38" t="s">
        <v>190</v>
      </c>
      <c r="G38" t="s">
        <v>191</v>
      </c>
      <c r="H38">
        <v>408</v>
      </c>
      <c r="I38">
        <v>0</v>
      </c>
      <c r="K38" t="s">
        <v>192</v>
      </c>
      <c r="L38" t="s">
        <v>193</v>
      </c>
      <c r="N38" s="13">
        <v>0.07000000000000001</v>
      </c>
      <c r="O38" s="13">
        <f>N38*1</f>
        <v>0.07</v>
      </c>
    </row>
    <row r="39" spans="1:15">
      <c r="A39" t="s">
        <v>194</v>
      </c>
      <c r="B39" t="s">
        <v>195</v>
      </c>
      <c r="C39" t="s">
        <v>196</v>
      </c>
      <c r="D39">
        <v>4</v>
      </c>
      <c r="E39">
        <f>B1*4</f>
        <v>20</v>
      </c>
      <c r="F39" t="s">
        <v>197</v>
      </c>
      <c r="G39" t="s">
        <v>198</v>
      </c>
      <c r="H39">
        <v>207</v>
      </c>
      <c r="I39">
        <v>0</v>
      </c>
      <c r="K39" t="s">
        <v>199</v>
      </c>
      <c r="L39" t="s">
        <v>200</v>
      </c>
      <c r="N39" s="13">
        <v>0.04</v>
      </c>
      <c r="O39" s="13">
        <f>N39*4</f>
        <v>0.16</v>
      </c>
    </row>
    <row r="40" spans="1:15">
      <c r="A40" t="s">
        <v>201</v>
      </c>
      <c r="B40" t="s">
        <v>202</v>
      </c>
      <c r="C40" t="s">
        <v>203</v>
      </c>
      <c r="D40">
        <v>5</v>
      </c>
      <c r="E40">
        <f>B1*5</f>
        <v>25</v>
      </c>
      <c r="F40" t="s">
        <v>204</v>
      </c>
      <c r="G40" t="s">
        <v>205</v>
      </c>
      <c r="H40">
        <v>1711</v>
      </c>
      <c r="I40">
        <v>0</v>
      </c>
      <c r="K40" t="s">
        <v>206</v>
      </c>
      <c r="L40" t="s">
        <v>207</v>
      </c>
      <c r="N40" s="13">
        <v>0.03</v>
      </c>
      <c r="O40" s="13">
        <f>N40*5</f>
        <v>0.15</v>
      </c>
    </row>
    <row r="41" spans="1:15">
      <c r="A41" t="s">
        <v>208</v>
      </c>
      <c r="B41" t="s">
        <v>209</v>
      </c>
      <c r="C41" t="s">
        <v>210</v>
      </c>
      <c r="D41">
        <v>1</v>
      </c>
      <c r="E41">
        <f>B1*1</f>
        <v>5</v>
      </c>
      <c r="F41" t="s">
        <v>211</v>
      </c>
      <c r="G41" t="s">
        <v>212</v>
      </c>
      <c r="H41">
        <v>4635</v>
      </c>
      <c r="I41">
        <v>0</v>
      </c>
      <c r="K41" t="s">
        <v>213</v>
      </c>
      <c r="L41" t="s">
        <v>214</v>
      </c>
      <c r="N41" s="13">
        <v>0.01</v>
      </c>
      <c r="O41" s="13">
        <f>N41*1</f>
        <v>0.01</v>
      </c>
    </row>
    <row r="42" spans="1:15">
      <c r="A42" t="s">
        <v>215</v>
      </c>
      <c r="B42" t="s">
        <v>216</v>
      </c>
      <c r="C42" t="s">
        <v>217</v>
      </c>
      <c r="D42">
        <v>2</v>
      </c>
      <c r="E42">
        <f>B1*2</f>
        <v>10</v>
      </c>
      <c r="F42" t="s">
        <v>218</v>
      </c>
      <c r="G42" t="s">
        <v>219</v>
      </c>
      <c r="H42">
        <v>3202</v>
      </c>
      <c r="I42">
        <v>0</v>
      </c>
      <c r="K42" t="s">
        <v>220</v>
      </c>
      <c r="L42" t="s">
        <v>221</v>
      </c>
      <c r="N42" s="13">
        <v>0.07000000000000001</v>
      </c>
      <c r="O42" s="13">
        <f>N42*2</f>
        <v>0.14</v>
      </c>
    </row>
    <row r="43" spans="1:15">
      <c r="A43" t="s">
        <v>222</v>
      </c>
      <c r="B43" t="s">
        <v>223</v>
      </c>
      <c r="C43" t="s">
        <v>224</v>
      </c>
      <c r="D43">
        <v>1</v>
      </c>
      <c r="E43">
        <f>B1*1</f>
        <v>5</v>
      </c>
      <c r="F43" t="s">
        <v>225</v>
      </c>
      <c r="G43" t="s">
        <v>226</v>
      </c>
      <c r="H43">
        <v>1000</v>
      </c>
      <c r="I43">
        <v>0</v>
      </c>
      <c r="N43" s="13">
        <v>0.16</v>
      </c>
      <c r="O43" s="13">
        <f>N43*1</f>
        <v>0.16</v>
      </c>
    </row>
    <row r="44" spans="1:15">
      <c r="A44" t="s">
        <v>227</v>
      </c>
      <c r="B44" t="s">
        <v>228</v>
      </c>
      <c r="C44" t="s">
        <v>229</v>
      </c>
      <c r="D44">
        <v>3</v>
      </c>
      <c r="E44">
        <f>B1*3</f>
        <v>15</v>
      </c>
      <c r="F44" t="s">
        <v>230</v>
      </c>
      <c r="G44" t="s">
        <v>231</v>
      </c>
      <c r="H44">
        <v>995</v>
      </c>
      <c r="I44">
        <v>0</v>
      </c>
      <c r="K44" t="s">
        <v>232</v>
      </c>
      <c r="L44" t="s">
        <v>233</v>
      </c>
      <c r="N44" s="13">
        <v>0.01</v>
      </c>
      <c r="O44" s="13">
        <f>N44*3</f>
        <v>0.03</v>
      </c>
    </row>
    <row r="45" spans="1:15">
      <c r="A45" t="s">
        <v>234</v>
      </c>
      <c r="B45" t="s">
        <v>235</v>
      </c>
      <c r="C45" t="s">
        <v>236</v>
      </c>
      <c r="D45">
        <v>1</v>
      </c>
      <c r="E45">
        <f>B1*1</f>
        <v>5</v>
      </c>
      <c r="F45" t="s">
        <v>237</v>
      </c>
      <c r="G45" t="s">
        <v>238</v>
      </c>
      <c r="H45">
        <v>309</v>
      </c>
      <c r="I45">
        <v>0</v>
      </c>
      <c r="J45" t="s">
        <v>239</v>
      </c>
      <c r="N45" s="13">
        <v>0.01</v>
      </c>
      <c r="O45" s="13">
        <f>N45*1</f>
        <v>0.01</v>
      </c>
    </row>
    <row r="46" spans="1:15">
      <c r="A46" t="s">
        <v>240</v>
      </c>
      <c r="B46" t="s">
        <v>241</v>
      </c>
      <c r="C46" t="s">
        <v>242</v>
      </c>
      <c r="D46">
        <v>2</v>
      </c>
      <c r="E46">
        <f>B1*2</f>
        <v>10</v>
      </c>
      <c r="F46" t="s">
        <v>243</v>
      </c>
      <c r="G46" t="s">
        <v>244</v>
      </c>
      <c r="H46">
        <v>29715</v>
      </c>
      <c r="I46">
        <v>0</v>
      </c>
      <c r="K46" t="s">
        <v>245</v>
      </c>
      <c r="L46" t="s">
        <v>246</v>
      </c>
      <c r="N46" s="13">
        <v>0.01</v>
      </c>
      <c r="O46" s="13">
        <f>N46*2</f>
        <v>0.02</v>
      </c>
    </row>
    <row r="47" spans="1:15">
      <c r="A47" t="s">
        <v>247</v>
      </c>
      <c r="B47" t="s">
        <v>248</v>
      </c>
      <c r="C47" t="s">
        <v>249</v>
      </c>
      <c r="D47">
        <v>1</v>
      </c>
      <c r="E47">
        <f>B1*1</f>
        <v>5</v>
      </c>
      <c r="F47" t="s">
        <v>250</v>
      </c>
      <c r="G47" t="s">
        <v>251</v>
      </c>
      <c r="H47">
        <v>434</v>
      </c>
      <c r="I47">
        <v>0</v>
      </c>
      <c r="J47" t="s">
        <v>252</v>
      </c>
      <c r="K47" t="s">
        <v>253</v>
      </c>
      <c r="L47" t="s">
        <v>254</v>
      </c>
      <c r="N47" s="13">
        <v>0.02</v>
      </c>
      <c r="O47" s="13">
        <f>N47*1</f>
        <v>0.02</v>
      </c>
    </row>
    <row r="48" spans="1:15">
      <c r="A48" t="s">
        <v>255</v>
      </c>
      <c r="B48" t="s">
        <v>256</v>
      </c>
      <c r="C48" t="s">
        <v>257</v>
      </c>
      <c r="D48">
        <v>6</v>
      </c>
      <c r="E48">
        <f>B1*6</f>
        <v>30</v>
      </c>
      <c r="F48" t="s">
        <v>258</v>
      </c>
      <c r="G48" t="s">
        <v>259</v>
      </c>
      <c r="H48">
        <v>50</v>
      </c>
      <c r="I48">
        <v>0</v>
      </c>
      <c r="K48" t="s">
        <v>260</v>
      </c>
      <c r="N48" s="13">
        <v>0.43</v>
      </c>
      <c r="O48" s="13">
        <f>N48*6</f>
        <v>2.58</v>
      </c>
    </row>
    <row r="49" spans="1:15">
      <c r="A49" t="s">
        <v>261</v>
      </c>
      <c r="B49" t="s">
        <v>262</v>
      </c>
      <c r="C49" t="s">
        <v>263</v>
      </c>
      <c r="D49">
        <v>1</v>
      </c>
      <c r="E49">
        <f>B1*1</f>
        <v>5</v>
      </c>
      <c r="F49" t="s">
        <v>264</v>
      </c>
      <c r="G49" t="s">
        <v>265</v>
      </c>
      <c r="H49">
        <v>1000</v>
      </c>
      <c r="I49">
        <v>0</v>
      </c>
      <c r="N49" s="13">
        <v>0.01</v>
      </c>
      <c r="O49" s="13">
        <f>N49*1</f>
        <v>0.01</v>
      </c>
    </row>
    <row r="50" spans="1:15">
      <c r="A50" t="s">
        <v>266</v>
      </c>
      <c r="B50" t="s">
        <v>267</v>
      </c>
      <c r="C50" t="s">
        <v>268</v>
      </c>
      <c r="D50">
        <v>1</v>
      </c>
      <c r="E50">
        <f>B1*1</f>
        <v>5</v>
      </c>
      <c r="F50" t="s">
        <v>269</v>
      </c>
      <c r="G50" t="s">
        <v>270</v>
      </c>
      <c r="H50">
        <v>830</v>
      </c>
      <c r="I50">
        <v>0</v>
      </c>
      <c r="N50" s="13">
        <v>0.01</v>
      </c>
      <c r="O50" s="13">
        <f>N50*1</f>
        <v>0.01</v>
      </c>
    </row>
    <row r="51" spans="1:15">
      <c r="A51" t="s">
        <v>271</v>
      </c>
      <c r="B51" t="s">
        <v>272</v>
      </c>
      <c r="C51" t="s">
        <v>273</v>
      </c>
      <c r="D51">
        <v>1</v>
      </c>
      <c r="E51">
        <f>B1*1</f>
        <v>5</v>
      </c>
      <c r="F51" t="s">
        <v>274</v>
      </c>
      <c r="G51" t="s">
        <v>275</v>
      </c>
      <c r="H51">
        <v>0</v>
      </c>
      <c r="I51">
        <v>1832</v>
      </c>
      <c r="K51" t="s">
        <v>276</v>
      </c>
      <c r="L51" t="s">
        <v>277</v>
      </c>
      <c r="N51" s="13">
        <v>0.05</v>
      </c>
      <c r="O51" s="13">
        <f>N51*1</f>
        <v>0.05</v>
      </c>
    </row>
    <row r="52" spans="1:15">
      <c r="A52" t="s">
        <v>278</v>
      </c>
      <c r="B52" t="s">
        <v>279</v>
      </c>
      <c r="C52" t="s">
        <v>280</v>
      </c>
      <c r="D52">
        <v>1</v>
      </c>
      <c r="E52">
        <f>B1*1</f>
        <v>5</v>
      </c>
      <c r="F52" t="s">
        <v>281</v>
      </c>
      <c r="G52" t="s">
        <v>282</v>
      </c>
      <c r="H52">
        <v>0</v>
      </c>
      <c r="I52">
        <v>3915</v>
      </c>
      <c r="J52" t="s">
        <v>283</v>
      </c>
      <c r="N52" s="13">
        <v>0</v>
      </c>
      <c r="O52" s="13">
        <f>N52*1</f>
        <v>0.0</v>
      </c>
    </row>
    <row r="53" spans="1:15">
      <c r="A53" t="s">
        <v>284</v>
      </c>
      <c r="B53" t="s">
        <v>285</v>
      </c>
      <c r="C53" t="s">
        <v>286</v>
      </c>
      <c r="D53">
        <v>4</v>
      </c>
      <c r="E53">
        <f>B1*4</f>
        <v>20</v>
      </c>
      <c r="F53" t="s">
        <v>287</v>
      </c>
      <c r="G53" t="s">
        <v>288</v>
      </c>
      <c r="H53">
        <v>495</v>
      </c>
      <c r="I53">
        <v>0</v>
      </c>
      <c r="K53" t="s">
        <v>289</v>
      </c>
      <c r="L53" t="s">
        <v>290</v>
      </c>
      <c r="N53" s="13">
        <v>0.01</v>
      </c>
      <c r="O53" s="13">
        <f>N53*4</f>
        <v>0.04</v>
      </c>
    </row>
    <row r="54" spans="1:15">
      <c r="A54" t="s">
        <v>291</v>
      </c>
      <c r="B54" t="s">
        <v>292</v>
      </c>
      <c r="C54" t="s">
        <v>293</v>
      </c>
      <c r="D54">
        <v>2</v>
      </c>
      <c r="E54">
        <f>B1*2</f>
        <v>10</v>
      </c>
      <c r="F54" t="s">
        <v>294</v>
      </c>
      <c r="G54" t="s">
        <v>295</v>
      </c>
      <c r="H54">
        <v>1563</v>
      </c>
      <c r="I54">
        <v>0</v>
      </c>
      <c r="K54" t="s">
        <v>296</v>
      </c>
      <c r="N54" s="13">
        <v>0.02</v>
      </c>
      <c r="O54" s="13">
        <f>N54*2</f>
        <v>0.04</v>
      </c>
    </row>
    <row r="55" spans="1:15">
      <c r="A55" t="s">
        <v>297</v>
      </c>
      <c r="B55" t="s">
        <v>298</v>
      </c>
      <c r="C55" t="s">
        <v>299</v>
      </c>
      <c r="D55">
        <v>1</v>
      </c>
      <c r="E55">
        <f>B1*1</f>
        <v>5</v>
      </c>
      <c r="F55" t="s">
        <v>300</v>
      </c>
      <c r="G55" t="s">
        <v>301</v>
      </c>
      <c r="H55">
        <v>5897</v>
      </c>
      <c r="I55">
        <v>0</v>
      </c>
      <c r="K55" t="s">
        <v>302</v>
      </c>
      <c r="L55" t="s">
        <v>303</v>
      </c>
      <c r="N55" s="13">
        <v>0.02</v>
      </c>
      <c r="O55" s="13">
        <f>N55*1</f>
        <v>0.02</v>
      </c>
    </row>
    <row r="56" spans="1:15">
      <c r="A56" t="s">
        <v>304</v>
      </c>
      <c r="B56" t="s">
        <v>305</v>
      </c>
      <c r="C56" t="s">
        <v>306</v>
      </c>
      <c r="D56">
        <v>1</v>
      </c>
      <c r="E56">
        <f>B1*1</f>
        <v>5</v>
      </c>
      <c r="F56" t="s">
        <v>307</v>
      </c>
      <c r="G56" t="s">
        <v>308</v>
      </c>
      <c r="H56">
        <v>500</v>
      </c>
      <c r="I56">
        <v>0</v>
      </c>
      <c r="K56" t="s">
        <v>309</v>
      </c>
      <c r="L56" t="s">
        <v>310</v>
      </c>
      <c r="N56" s="13">
        <v>0.02</v>
      </c>
      <c r="O56" s="13">
        <f>N56*1</f>
        <v>0.02</v>
      </c>
    </row>
    <row r="57" spans="1:15">
      <c r="A57" t="s">
        <v>311</v>
      </c>
      <c r="B57" t="s">
        <v>312</v>
      </c>
      <c r="C57" t="s">
        <v>313</v>
      </c>
      <c r="D57">
        <v>1</v>
      </c>
      <c r="E57">
        <f>B1*1</f>
        <v>5</v>
      </c>
      <c r="F57" t="s">
        <v>314</v>
      </c>
      <c r="G57" t="s">
        <v>315</v>
      </c>
      <c r="H57">
        <v>100</v>
      </c>
      <c r="I57">
        <v>0</v>
      </c>
      <c r="N57" s="13">
        <v>0.17</v>
      </c>
      <c r="O57" s="13">
        <f>N57*1</f>
        <v>0.17</v>
      </c>
    </row>
    <row r="58" spans="1:15">
      <c r="A58" t="s">
        <v>316</v>
      </c>
      <c r="B58" t="s">
        <v>317</v>
      </c>
      <c r="C58" t="s">
        <v>318</v>
      </c>
      <c r="D58">
        <v>1</v>
      </c>
      <c r="E58">
        <f>B1*1</f>
        <v>5</v>
      </c>
      <c r="F58" t="s">
        <v>319</v>
      </c>
      <c r="G58" t="s">
        <v>320</v>
      </c>
      <c r="H58">
        <v>0</v>
      </c>
      <c r="I58">
        <v>657</v>
      </c>
      <c r="K58" t="s">
        <v>321</v>
      </c>
      <c r="L58" t="s">
        <v>322</v>
      </c>
      <c r="N58" s="13">
        <v>0.19</v>
      </c>
      <c r="O58" s="13">
        <f>N58*1</f>
        <v>0.19</v>
      </c>
    </row>
    <row r="59" spans="1:15">
      <c r="A59" t="s">
        <v>323</v>
      </c>
      <c r="B59" t="s">
        <v>324</v>
      </c>
      <c r="C59" t="s">
        <v>325</v>
      </c>
      <c r="D59">
        <v>1</v>
      </c>
      <c r="E59">
        <f>B1*1</f>
        <v>5</v>
      </c>
      <c r="F59" t="s">
        <v>326</v>
      </c>
      <c r="G59" t="s">
        <v>327</v>
      </c>
      <c r="H59">
        <v>50</v>
      </c>
      <c r="I59">
        <v>0</v>
      </c>
      <c r="N59" s="13">
        <v>0.24</v>
      </c>
      <c r="O59" s="13">
        <f>N59*1</f>
        <v>0.24</v>
      </c>
    </row>
    <row r="60" spans="1:15">
      <c r="A60" t="s">
        <v>328</v>
      </c>
      <c r="B60" t="s">
        <v>329</v>
      </c>
      <c r="C60" t="s">
        <v>330</v>
      </c>
      <c r="D60">
        <v>3</v>
      </c>
      <c r="E60">
        <f>B1*3</f>
        <v>15</v>
      </c>
      <c r="F60" t="s">
        <v>331</v>
      </c>
      <c r="G60" t="s">
        <v>332</v>
      </c>
      <c r="H60">
        <v>80</v>
      </c>
      <c r="I60">
        <v>0</v>
      </c>
      <c r="J60" t="s">
        <v>333</v>
      </c>
      <c r="N60" s="13">
        <v>0.11</v>
      </c>
      <c r="O60" s="13">
        <f>N60*3</f>
        <v>0.33</v>
      </c>
    </row>
    <row r="61" spans="1:15">
      <c r="A61" t="s">
        <v>334</v>
      </c>
      <c r="B61" t="s">
        <v>335</v>
      </c>
      <c r="C61" t="s">
        <v>336</v>
      </c>
      <c r="D61">
        <v>2</v>
      </c>
      <c r="E61">
        <f>B1*2</f>
        <v>10</v>
      </c>
      <c r="F61" t="s">
        <v>337</v>
      </c>
      <c r="G61" t="s">
        <v>338</v>
      </c>
      <c r="H61">
        <v>2352</v>
      </c>
      <c r="I61">
        <v>0</v>
      </c>
      <c r="K61" t="s">
        <v>339</v>
      </c>
      <c r="N61" s="13">
        <v>0.08</v>
      </c>
      <c r="O61" s="13">
        <f>N61*2</f>
        <v>0.16</v>
      </c>
    </row>
    <row r="62" spans="1:15">
      <c r="A62" t="s">
        <v>340</v>
      </c>
      <c r="B62" t="s">
        <v>341</v>
      </c>
      <c r="C62" t="s">
        <v>342</v>
      </c>
      <c r="D62">
        <v>1</v>
      </c>
      <c r="E62">
        <f>B1*1</f>
        <v>5</v>
      </c>
      <c r="F62" t="s">
        <v>343</v>
      </c>
      <c r="G62" t="s">
        <v>344</v>
      </c>
      <c r="H62">
        <v>956</v>
      </c>
      <c r="I62">
        <v>0</v>
      </c>
      <c r="K62" t="s">
        <v>345</v>
      </c>
      <c r="N62" s="13">
        <v>0.06</v>
      </c>
      <c r="O62" s="13">
        <f>N62*1</f>
        <v>0.06</v>
      </c>
    </row>
    <row r="63" spans="1:15">
      <c r="A63" t="s">
        <v>346</v>
      </c>
      <c r="B63" t="s">
        <v>347</v>
      </c>
      <c r="C63" t="s">
        <v>348</v>
      </c>
      <c r="D63">
        <v>8</v>
      </c>
      <c r="E63">
        <f>B1*8</f>
        <v>40</v>
      </c>
      <c r="F63" t="s">
        <v>349</v>
      </c>
      <c r="G63" t="s">
        <v>350</v>
      </c>
      <c r="H63">
        <v>1000</v>
      </c>
      <c r="I63">
        <v>0</v>
      </c>
      <c r="N63" s="13">
        <v>0.02</v>
      </c>
      <c r="O63" s="13">
        <f>N63*8</f>
        <v>0.16</v>
      </c>
    </row>
    <row r="64" spans="1:15">
      <c r="A64" t="s">
        <v>351</v>
      </c>
      <c r="B64" t="s">
        <v>352</v>
      </c>
      <c r="C64" t="s">
        <v>353</v>
      </c>
      <c r="D64">
        <v>1</v>
      </c>
      <c r="E64">
        <f>B1*1</f>
        <v>5</v>
      </c>
      <c r="F64" t="s">
        <v>354</v>
      </c>
      <c r="G64" t="s">
        <v>355</v>
      </c>
      <c r="H64">
        <v>25</v>
      </c>
      <c r="I64">
        <v>0</v>
      </c>
      <c r="K64" t="s">
        <v>356</v>
      </c>
      <c r="L64" t="s">
        <v>357</v>
      </c>
      <c r="N64" s="13">
        <v>0.23</v>
      </c>
      <c r="O64" s="13">
        <f>N64*1</f>
        <v>0.23</v>
      </c>
    </row>
    <row r="65" spans="1:15">
      <c r="A65" t="s">
        <v>358</v>
      </c>
      <c r="B65" t="s">
        <v>359</v>
      </c>
      <c r="C65" t="s">
        <v>360</v>
      </c>
      <c r="D65">
        <v>1</v>
      </c>
      <c r="E65">
        <f>B1*1</f>
        <v>5</v>
      </c>
      <c r="F65" t="s">
        <v>361</v>
      </c>
      <c r="G65" t="s">
        <v>362</v>
      </c>
      <c r="H65">
        <v>500</v>
      </c>
      <c r="I65">
        <v>0</v>
      </c>
      <c r="N65" s="13">
        <v>0.03</v>
      </c>
      <c r="O65" s="13">
        <f>N65*1</f>
        <v>0.03</v>
      </c>
    </row>
    <row r="66" spans="1:15">
      <c r="A66" t="s">
        <v>363</v>
      </c>
      <c r="B66" t="s">
        <v>364</v>
      </c>
      <c r="C66" t="s">
        <v>365</v>
      </c>
      <c r="D66">
        <v>8</v>
      </c>
      <c r="E66">
        <f>B1*8</f>
        <v>40</v>
      </c>
      <c r="F66" t="s">
        <v>366</v>
      </c>
      <c r="G66" t="s">
        <v>367</v>
      </c>
      <c r="H66">
        <v>500</v>
      </c>
      <c r="I66">
        <v>0</v>
      </c>
      <c r="N66" s="13">
        <v>0.05</v>
      </c>
      <c r="O66" s="13">
        <f>N66*8</f>
        <v>0.4</v>
      </c>
    </row>
    <row r="67" spans="1:15">
      <c r="A67" t="s">
        <v>368</v>
      </c>
      <c r="B67" t="s">
        <v>369</v>
      </c>
      <c r="C67" t="s">
        <v>370</v>
      </c>
      <c r="D67">
        <v>1</v>
      </c>
      <c r="E67">
        <f>B1*1</f>
        <v>5</v>
      </c>
      <c r="F67" t="s">
        <v>371</v>
      </c>
      <c r="G67" t="s">
        <v>372</v>
      </c>
      <c r="H67">
        <v>100</v>
      </c>
      <c r="I67">
        <v>0</v>
      </c>
      <c r="N67" s="13">
        <v>0.11</v>
      </c>
      <c r="O67" s="13">
        <f>N67*1</f>
        <v>0.11</v>
      </c>
    </row>
    <row r="68" spans="1:15">
      <c r="A68" t="s">
        <v>373</v>
      </c>
      <c r="B68" t="s">
        <v>374</v>
      </c>
      <c r="C68" t="s">
        <v>375</v>
      </c>
      <c r="D68">
        <v>1</v>
      </c>
      <c r="E68">
        <f>B1*1</f>
        <v>5</v>
      </c>
      <c r="F68" t="s">
        <v>376</v>
      </c>
      <c r="G68" t="s">
        <v>377</v>
      </c>
      <c r="H68">
        <v>341</v>
      </c>
      <c r="I68">
        <v>0</v>
      </c>
      <c r="N68" s="13">
        <v>0.06</v>
      </c>
      <c r="O68" s="13">
        <f>N68*1</f>
        <v>0.06</v>
      </c>
    </row>
    <row r="69" spans="1:15">
      <c r="A69" t="s">
        <v>378</v>
      </c>
      <c r="B69" t="s">
        <v>379</v>
      </c>
      <c r="C69" t="s">
        <v>380</v>
      </c>
      <c r="D69">
        <v>1</v>
      </c>
      <c r="E69">
        <f>B1*1</f>
        <v>5</v>
      </c>
      <c r="F69" t="s">
        <v>381</v>
      </c>
      <c r="G69" t="s">
        <v>382</v>
      </c>
      <c r="H69">
        <v>50</v>
      </c>
      <c r="I69">
        <v>0</v>
      </c>
      <c r="K69" t="s">
        <v>383</v>
      </c>
      <c r="L69" t="s">
        <v>384</v>
      </c>
      <c r="N69" s="13">
        <v>0.28</v>
      </c>
      <c r="O69" s="13">
        <f>N69*1</f>
        <v>0.28</v>
      </c>
    </row>
    <row r="70" spans="1:15">
      <c r="A70" t="s">
        <v>385</v>
      </c>
      <c r="B70" t="s">
        <v>386</v>
      </c>
      <c r="C70" t="s">
        <v>387</v>
      </c>
      <c r="D70">
        <v>1</v>
      </c>
      <c r="E70">
        <f>B1*1</f>
        <v>5</v>
      </c>
      <c r="F70" t="s">
        <v>388</v>
      </c>
      <c r="G70" t="s">
        <v>389</v>
      </c>
      <c r="H70">
        <v>195</v>
      </c>
      <c r="I70">
        <v>0</v>
      </c>
      <c r="K70" t="s">
        <v>390</v>
      </c>
      <c r="N70" s="13">
        <v>0.25</v>
      </c>
      <c r="O70" s="13">
        <f>N70*1</f>
        <v>0.25</v>
      </c>
    </row>
    <row r="71" spans="1:15">
      <c r="A71" t="s">
        <v>391</v>
      </c>
      <c r="B71" t="s">
        <v>392</v>
      </c>
      <c r="C71" t="s">
        <v>393</v>
      </c>
      <c r="D71">
        <v>1</v>
      </c>
      <c r="E71">
        <f>B1*1</f>
        <v>5</v>
      </c>
      <c r="F71" t="s">
        <v>394</v>
      </c>
      <c r="G71" t="s">
        <v>395</v>
      </c>
      <c r="H71">
        <v>10</v>
      </c>
      <c r="I71">
        <v>0</v>
      </c>
      <c r="N71" s="13">
        <v>1.42</v>
      </c>
      <c r="O71" s="13">
        <f>N71*1</f>
        <v>1.42</v>
      </c>
    </row>
    <row r="72" spans="1:15">
      <c r="A72" t="s">
        <v>396</v>
      </c>
      <c r="B72" t="s">
        <v>397</v>
      </c>
      <c r="C72" t="s">
        <v>398</v>
      </c>
      <c r="D72">
        <v>1</v>
      </c>
      <c r="E72">
        <f>B1*1</f>
        <v>5</v>
      </c>
      <c r="F72" t="s">
        <v>399</v>
      </c>
      <c r="G72" t="s">
        <v>400</v>
      </c>
      <c r="H72">
        <v>140</v>
      </c>
      <c r="I72">
        <v>0</v>
      </c>
      <c r="K72" t="s">
        <v>401</v>
      </c>
      <c r="N72" s="13">
        <v>0.1</v>
      </c>
      <c r="O72" s="13">
        <f>N72*1</f>
        <v>0.1</v>
      </c>
    </row>
    <row r="73" spans="1:15">
      <c r="A73" t="s">
        <v>402</v>
      </c>
      <c r="B73" t="s">
        <v>403</v>
      </c>
      <c r="C73" t="s">
        <v>404</v>
      </c>
      <c r="D73">
        <v>1</v>
      </c>
      <c r="E73">
        <f>B1*1</f>
        <v>5</v>
      </c>
      <c r="F73" t="s">
        <v>405</v>
      </c>
      <c r="G73" t="s">
        <v>406</v>
      </c>
      <c r="H73">
        <v>230</v>
      </c>
      <c r="I73">
        <v>0</v>
      </c>
      <c r="K73" t="s">
        <v>407</v>
      </c>
      <c r="L73" t="s">
        <v>408</v>
      </c>
      <c r="N73" s="13">
        <v>0.21</v>
      </c>
      <c r="O73" s="13">
        <f>N73*1</f>
        <v>0.21</v>
      </c>
    </row>
    <row r="74" spans="1:15">
      <c r="A74" t="s">
        <v>409</v>
      </c>
      <c r="B74" t="s">
        <v>410</v>
      </c>
      <c r="C74" t="s">
        <v>411</v>
      </c>
      <c r="D74">
        <v>1</v>
      </c>
      <c r="E74">
        <f>B1*1</f>
        <v>5</v>
      </c>
      <c r="F74" t="s">
        <v>412</v>
      </c>
      <c r="G74" t="s">
        <v>413</v>
      </c>
      <c r="H74">
        <v>20</v>
      </c>
      <c r="I74">
        <v>185</v>
      </c>
      <c r="K74" t="s">
        <v>414</v>
      </c>
      <c r="L74" t="s">
        <v>415</v>
      </c>
      <c r="N74" s="13">
        <v>0.79</v>
      </c>
      <c r="O74" s="13">
        <f>N74*1</f>
        <v>0.79</v>
      </c>
    </row>
    <row r="75" spans="1:15">
      <c r="A75" t="s">
        <v>416</v>
      </c>
      <c r="B75" t="s">
        <v>417</v>
      </c>
      <c r="C75" t="s">
        <v>418</v>
      </c>
      <c r="D75">
        <v>6</v>
      </c>
      <c r="E75">
        <f>B1*6</f>
        <v>30</v>
      </c>
      <c r="F75" t="s">
        <v>419</v>
      </c>
      <c r="G75" t="s">
        <v>420</v>
      </c>
      <c r="H75">
        <v>13935</v>
      </c>
      <c r="I75">
        <v>0</v>
      </c>
      <c r="K75" t="s">
        <v>421</v>
      </c>
      <c r="N75" s="13">
        <v>0.01</v>
      </c>
      <c r="O75" s="13">
        <f>N75*6</f>
        <v>0.06</v>
      </c>
    </row>
    <row r="76" spans="1:15">
      <c r="A76" t="s">
        <v>422</v>
      </c>
      <c r="B76" t="s">
        <v>423</v>
      </c>
      <c r="C76" t="s">
        <v>424</v>
      </c>
      <c r="D76">
        <v>2</v>
      </c>
      <c r="E76">
        <f>B1*2</f>
        <v>10</v>
      </c>
      <c r="F76" t="s">
        <v>425</v>
      </c>
      <c r="G76" t="s">
        <v>426</v>
      </c>
      <c r="H76">
        <v>9475</v>
      </c>
      <c r="I76">
        <v>0</v>
      </c>
      <c r="K76" t="s">
        <v>427</v>
      </c>
      <c r="L76" t="s">
        <v>428</v>
      </c>
      <c r="N76" s="13">
        <v>0.01</v>
      </c>
      <c r="O76" s="13">
        <f>N76*2</f>
        <v>0.02</v>
      </c>
    </row>
    <row r="77" spans="1:15">
      <c r="A77" t="s">
        <v>429</v>
      </c>
      <c r="B77" t="s">
        <v>430</v>
      </c>
      <c r="C77" t="s">
        <v>431</v>
      </c>
      <c r="D77">
        <v>7</v>
      </c>
      <c r="E77">
        <f>B1*7</f>
        <v>35</v>
      </c>
      <c r="F77" t="s">
        <v>432</v>
      </c>
      <c r="G77" t="s">
        <v>433</v>
      </c>
      <c r="H77">
        <v>6530</v>
      </c>
      <c r="I77">
        <v>0</v>
      </c>
      <c r="K77" t="s">
        <v>434</v>
      </c>
      <c r="L77" t="s">
        <v>435</v>
      </c>
      <c r="N77" s="13">
        <v>0.01</v>
      </c>
      <c r="O77" s="13">
        <f>N77*7</f>
        <v>0.07</v>
      </c>
    </row>
    <row r="78" spans="1:15">
      <c r="A78" t="s">
        <v>436</v>
      </c>
      <c r="B78" t="s">
        <v>437</v>
      </c>
      <c r="C78" t="s">
        <v>438</v>
      </c>
      <c r="D78">
        <v>8</v>
      </c>
      <c r="E78">
        <f>B1*8</f>
        <v>40</v>
      </c>
      <c r="F78" t="s">
        <v>439</v>
      </c>
      <c r="G78" t="s">
        <v>440</v>
      </c>
      <c r="H78">
        <v>9620</v>
      </c>
      <c r="I78">
        <v>0</v>
      </c>
      <c r="K78" t="s">
        <v>441</v>
      </c>
      <c r="N78" s="13">
        <v>0.01</v>
      </c>
      <c r="O78" s="13">
        <f>N78*8</f>
        <v>0.08</v>
      </c>
    </row>
    <row r="79" spans="1:15">
      <c r="A79" t="s">
        <v>442</v>
      </c>
      <c r="B79" t="s">
        <v>443</v>
      </c>
      <c r="C79" t="s">
        <v>444</v>
      </c>
      <c r="D79">
        <v>8</v>
      </c>
      <c r="E79">
        <f>B1*8</f>
        <v>40</v>
      </c>
      <c r="F79" t="s">
        <v>445</v>
      </c>
      <c r="G79" t="s">
        <v>446</v>
      </c>
      <c r="H79">
        <v>860</v>
      </c>
      <c r="I79">
        <v>0</v>
      </c>
      <c r="K79" t="s">
        <v>447</v>
      </c>
      <c r="L79" t="s">
        <v>448</v>
      </c>
      <c r="N79" s="13">
        <v>0.01</v>
      </c>
      <c r="O79" s="13">
        <f>N79*8</f>
        <v>0.08</v>
      </c>
    </row>
    <row r="80" spans="1:15">
      <c r="A80" t="s">
        <v>449</v>
      </c>
      <c r="B80" t="s">
        <v>450</v>
      </c>
      <c r="C80" t="s">
        <v>451</v>
      </c>
      <c r="D80">
        <v>2</v>
      </c>
      <c r="E80">
        <f>B1*2</f>
        <v>10</v>
      </c>
      <c r="F80" t="s">
        <v>452</v>
      </c>
      <c r="G80" t="s">
        <v>453</v>
      </c>
      <c r="H80">
        <v>9358</v>
      </c>
      <c r="I80">
        <v>0</v>
      </c>
      <c r="K80" t="s">
        <v>454</v>
      </c>
      <c r="L80" t="s">
        <v>455</v>
      </c>
      <c r="N80" s="13">
        <v>0.01</v>
      </c>
      <c r="O80" s="13">
        <f>N80*2</f>
        <v>0.02</v>
      </c>
    </row>
    <row r="81" spans="1:15">
      <c r="A81" t="s">
        <v>456</v>
      </c>
      <c r="B81" t="s">
        <v>457</v>
      </c>
      <c r="C81" t="s">
        <v>458</v>
      </c>
      <c r="D81">
        <v>1</v>
      </c>
      <c r="E81">
        <f>B1*1</f>
        <v>5</v>
      </c>
      <c r="F81" t="s">
        <v>459</v>
      </c>
      <c r="G81" t="s">
        <v>460</v>
      </c>
      <c r="H81">
        <v>9825</v>
      </c>
      <c r="I81">
        <v>0</v>
      </c>
      <c r="K81" t="s">
        <v>461</v>
      </c>
      <c r="L81" t="s">
        <v>462</v>
      </c>
      <c r="N81" s="13">
        <v>0.01</v>
      </c>
      <c r="O81" s="13">
        <f>N81*1</f>
        <v>0.01</v>
      </c>
    </row>
    <row r="82" spans="1:15">
      <c r="A82" t="s">
        <v>463</v>
      </c>
      <c r="B82" t="s">
        <v>464</v>
      </c>
      <c r="C82" t="s">
        <v>465</v>
      </c>
      <c r="D82">
        <v>5</v>
      </c>
      <c r="E82">
        <f>B1*5</f>
        <v>25</v>
      </c>
      <c r="F82" t="s">
        <v>466</v>
      </c>
      <c r="G82" t="s">
        <v>467</v>
      </c>
      <c r="H82">
        <v>8391</v>
      </c>
      <c r="I82">
        <v>0</v>
      </c>
      <c r="K82" t="s">
        <v>468</v>
      </c>
      <c r="N82" s="13">
        <v>0.01</v>
      </c>
      <c r="O82" s="13">
        <f>N82*5</f>
        <v>0.05</v>
      </c>
    </row>
    <row r="83" spans="1:15">
      <c r="A83" t="s">
        <v>469</v>
      </c>
      <c r="B83" t="s">
        <v>470</v>
      </c>
      <c r="C83" t="s">
        <v>471</v>
      </c>
      <c r="D83">
        <v>3</v>
      </c>
      <c r="E83">
        <f>B1*3</f>
        <v>15</v>
      </c>
      <c r="F83" t="s">
        <v>472</v>
      </c>
      <c r="G83" t="s">
        <v>473</v>
      </c>
      <c r="H83">
        <v>3482</v>
      </c>
      <c r="I83">
        <v>0</v>
      </c>
      <c r="N83" s="13">
        <v>0.01</v>
      </c>
      <c r="O83" s="13">
        <f>N83*3</f>
        <v>0.03</v>
      </c>
    </row>
    <row r="84" spans="1:15">
      <c r="A84" t="s">
        <v>474</v>
      </c>
      <c r="B84" t="s">
        <v>475</v>
      </c>
      <c r="C84" t="s">
        <v>476</v>
      </c>
      <c r="D84">
        <v>2</v>
      </c>
      <c r="E84">
        <f>B1*2</f>
        <v>10</v>
      </c>
      <c r="F84" t="s">
        <v>477</v>
      </c>
      <c r="G84" t="s">
        <v>478</v>
      </c>
      <c r="H84">
        <v>2600</v>
      </c>
      <c r="I84">
        <v>0</v>
      </c>
      <c r="K84" t="s">
        <v>479</v>
      </c>
      <c r="N84" s="13">
        <v>0.01</v>
      </c>
      <c r="O84" s="13">
        <f>N84*2</f>
        <v>0.02</v>
      </c>
    </row>
    <row r="85" spans="1:15">
      <c r="A85" t="s">
        <v>480</v>
      </c>
      <c r="B85" t="s">
        <v>481</v>
      </c>
      <c r="C85" t="s">
        <v>482</v>
      </c>
      <c r="D85">
        <v>4</v>
      </c>
      <c r="E85">
        <f>B1*4</f>
        <v>20</v>
      </c>
      <c r="F85" t="s">
        <v>483</v>
      </c>
      <c r="G85" t="s">
        <v>484</v>
      </c>
      <c r="H85">
        <v>41200</v>
      </c>
      <c r="I85">
        <v>0</v>
      </c>
      <c r="K85" t="s">
        <v>485</v>
      </c>
      <c r="N85" s="13">
        <v>0.01</v>
      </c>
      <c r="O85" s="13">
        <f>N85*4</f>
        <v>0.04</v>
      </c>
    </row>
    <row r="86" spans="1:15">
      <c r="A86" t="s">
        <v>486</v>
      </c>
      <c r="B86" t="s">
        <v>487</v>
      </c>
      <c r="C86" t="s">
        <v>488</v>
      </c>
      <c r="D86">
        <v>3</v>
      </c>
      <c r="E86">
        <f>B1*3</f>
        <v>15</v>
      </c>
      <c r="F86" t="s">
        <v>489</v>
      </c>
      <c r="G86" t="s">
        <v>490</v>
      </c>
      <c r="H86">
        <v>79</v>
      </c>
      <c r="I86">
        <v>0</v>
      </c>
      <c r="N86" s="13">
        <v>0.34</v>
      </c>
      <c r="O86" s="13">
        <f>N86*3</f>
        <v>1.02</v>
      </c>
    </row>
    <row r="87" spans="1:15">
      <c r="A87" t="s">
        <v>491</v>
      </c>
      <c r="B87" t="s">
        <v>492</v>
      </c>
      <c r="C87" t="s">
        <v>493</v>
      </c>
      <c r="D87">
        <v>3</v>
      </c>
      <c r="E87">
        <f>B1*3</f>
        <v>15</v>
      </c>
      <c r="F87" t="s">
        <v>494</v>
      </c>
      <c r="G87" t="s">
        <v>495</v>
      </c>
      <c r="H87">
        <v>9693</v>
      </c>
      <c r="I87">
        <v>0</v>
      </c>
      <c r="K87" t="s">
        <v>496</v>
      </c>
      <c r="N87" s="13">
        <v>0.01</v>
      </c>
      <c r="O87" s="13">
        <f>N87*3</f>
        <v>0.03</v>
      </c>
    </row>
    <row r="88" spans="1:15">
      <c r="A88" t="s">
        <v>497</v>
      </c>
      <c r="B88" t="s">
        <v>498</v>
      </c>
      <c r="C88" t="s">
        <v>499</v>
      </c>
      <c r="D88">
        <v>1</v>
      </c>
      <c r="E88">
        <f>B1*1</f>
        <v>5</v>
      </c>
      <c r="F88" t="s">
        <v>500</v>
      </c>
      <c r="G88" t="s">
        <v>501</v>
      </c>
      <c r="H88">
        <v>4735</v>
      </c>
      <c r="I88">
        <v>0</v>
      </c>
      <c r="N88" s="13">
        <v>0.01</v>
      </c>
      <c r="O88" s="13">
        <f>N88*1</f>
        <v>0.01</v>
      </c>
    </row>
    <row r="89" spans="1:15">
      <c r="A89" t="s">
        <v>502</v>
      </c>
      <c r="B89" t="s">
        <v>503</v>
      </c>
      <c r="C89" t="s">
        <v>504</v>
      </c>
      <c r="D89">
        <v>6</v>
      </c>
      <c r="E89">
        <f>B1*6</f>
        <v>30</v>
      </c>
      <c r="F89" t="s">
        <v>505</v>
      </c>
      <c r="G89" t="s">
        <v>506</v>
      </c>
      <c r="H89">
        <v>9580</v>
      </c>
      <c r="I89">
        <v>0</v>
      </c>
      <c r="K89" t="s">
        <v>507</v>
      </c>
      <c r="N89" s="13">
        <v>0.01</v>
      </c>
      <c r="O89" s="13">
        <f>N89*6</f>
        <v>0.06</v>
      </c>
    </row>
    <row r="90" spans="1:15">
      <c r="A90" t="s">
        <v>508</v>
      </c>
      <c r="B90" t="s">
        <v>509</v>
      </c>
      <c r="C90" t="s">
        <v>510</v>
      </c>
      <c r="D90">
        <v>1</v>
      </c>
      <c r="E90">
        <f>B1*1</f>
        <v>5</v>
      </c>
      <c r="F90" t="s">
        <v>511</v>
      </c>
      <c r="G90" t="s">
        <v>512</v>
      </c>
      <c r="H90">
        <v>1000</v>
      </c>
      <c r="I90">
        <v>0</v>
      </c>
      <c r="K90" t="s">
        <v>513</v>
      </c>
      <c r="L90" t="s">
        <v>514</v>
      </c>
      <c r="N90" s="13">
        <v>0.01</v>
      </c>
      <c r="O90" s="13">
        <f>N90*1</f>
        <v>0.01</v>
      </c>
    </row>
    <row r="91" spans="1:15">
      <c r="A91" t="s">
        <v>515</v>
      </c>
      <c r="B91" t="s">
        <v>516</v>
      </c>
      <c r="C91" t="s">
        <v>517</v>
      </c>
      <c r="D91">
        <v>1</v>
      </c>
      <c r="E91">
        <f>B1*1</f>
        <v>5</v>
      </c>
      <c r="F91" t="s">
        <v>518</v>
      </c>
      <c r="G91" t="s">
        <v>519</v>
      </c>
      <c r="H91">
        <v>9980</v>
      </c>
      <c r="I91">
        <v>0</v>
      </c>
      <c r="K91" t="s">
        <v>520</v>
      </c>
      <c r="N91" s="13">
        <v>0.01</v>
      </c>
      <c r="O91" s="13">
        <f>N91*1</f>
        <v>0.01</v>
      </c>
    </row>
    <row r="92" spans="1:15">
      <c r="A92" t="s">
        <v>521</v>
      </c>
      <c r="B92" t="s">
        <v>522</v>
      </c>
      <c r="C92" t="s">
        <v>523</v>
      </c>
      <c r="D92">
        <v>1</v>
      </c>
      <c r="E92">
        <f>B1*1</f>
        <v>5</v>
      </c>
      <c r="F92" t="s">
        <v>524</v>
      </c>
      <c r="G92" t="s">
        <v>525</v>
      </c>
      <c r="H92">
        <v>2740</v>
      </c>
      <c r="I92">
        <v>0</v>
      </c>
      <c r="K92" t="s">
        <v>526</v>
      </c>
      <c r="L92" t="s">
        <v>527</v>
      </c>
      <c r="N92" s="13">
        <v>0.01</v>
      </c>
      <c r="O92" s="13">
        <f>N92*1</f>
        <v>0.01</v>
      </c>
    </row>
    <row r="93" spans="1:15">
      <c r="A93" t="s">
        <v>528</v>
      </c>
      <c r="B93" t="s">
        <v>529</v>
      </c>
      <c r="C93" t="s">
        <v>530</v>
      </c>
      <c r="D93">
        <v>1</v>
      </c>
      <c r="E93">
        <f>B1*1</f>
        <v>5</v>
      </c>
      <c r="F93" t="s">
        <v>531</v>
      </c>
      <c r="G93" t="s">
        <v>532</v>
      </c>
      <c r="H93">
        <v>9865</v>
      </c>
      <c r="I93">
        <v>5</v>
      </c>
      <c r="K93" t="s">
        <v>533</v>
      </c>
      <c r="N93" s="13">
        <v>0.01</v>
      </c>
      <c r="O93" s="13">
        <f>N93*1</f>
        <v>0.01</v>
      </c>
    </row>
    <row r="94" spans="1:15">
      <c r="A94" t="s">
        <v>534</v>
      </c>
      <c r="B94" t="s">
        <v>535</v>
      </c>
      <c r="C94" t="s">
        <v>536</v>
      </c>
      <c r="D94">
        <v>2</v>
      </c>
      <c r="E94">
        <f>B1*2</f>
        <v>10</v>
      </c>
      <c r="F94" t="s">
        <v>537</v>
      </c>
      <c r="G94" t="s">
        <v>538</v>
      </c>
      <c r="H94">
        <v>10000</v>
      </c>
      <c r="I94">
        <v>0</v>
      </c>
      <c r="K94" t="s">
        <v>539</v>
      </c>
      <c r="L94" t="s">
        <v>540</v>
      </c>
      <c r="N94" s="13">
        <v>0.01</v>
      </c>
      <c r="O94" s="13">
        <f>N94*2</f>
        <v>0.02</v>
      </c>
    </row>
    <row r="95" spans="1:15">
      <c r="A95" t="s">
        <v>541</v>
      </c>
      <c r="B95" t="s">
        <v>542</v>
      </c>
      <c r="C95" t="s">
        <v>543</v>
      </c>
      <c r="D95">
        <v>2</v>
      </c>
      <c r="E95">
        <f>B1*2</f>
        <v>10</v>
      </c>
      <c r="F95" t="s">
        <v>544</v>
      </c>
      <c r="G95" t="s">
        <v>545</v>
      </c>
      <c r="H95">
        <v>7570</v>
      </c>
      <c r="I95">
        <v>0</v>
      </c>
      <c r="K95" t="s">
        <v>546</v>
      </c>
      <c r="N95" s="13">
        <v>0.01</v>
      </c>
      <c r="O95" s="13">
        <f>N95*2</f>
        <v>0.02</v>
      </c>
    </row>
    <row r="96" spans="1:15">
      <c r="A96" t="s">
        <v>547</v>
      </c>
      <c r="B96" t="s">
        <v>548</v>
      </c>
      <c r="C96" t="s">
        <v>549</v>
      </c>
      <c r="D96">
        <v>2</v>
      </c>
      <c r="E96">
        <f>B1*2</f>
        <v>10</v>
      </c>
      <c r="F96" t="s">
        <v>550</v>
      </c>
      <c r="G96" t="s">
        <v>551</v>
      </c>
      <c r="H96">
        <v>905</v>
      </c>
      <c r="I96">
        <v>0</v>
      </c>
      <c r="K96" t="s">
        <v>552</v>
      </c>
      <c r="L96" t="s">
        <v>553</v>
      </c>
      <c r="N96" s="13">
        <v>0.01</v>
      </c>
      <c r="O96" s="13">
        <f>N96*2</f>
        <v>0.02</v>
      </c>
    </row>
    <row r="97" spans="1:15">
      <c r="A97" t="s">
        <v>554</v>
      </c>
      <c r="B97" t="s">
        <v>555</v>
      </c>
      <c r="C97" t="s">
        <v>556</v>
      </c>
      <c r="D97">
        <v>1</v>
      </c>
      <c r="E97">
        <f>B1*1</f>
        <v>5</v>
      </c>
      <c r="F97" t="s">
        <v>557</v>
      </c>
      <c r="G97" t="s">
        <v>558</v>
      </c>
      <c r="H97">
        <v>0</v>
      </c>
      <c r="I97">
        <v>120</v>
      </c>
      <c r="K97" t="s">
        <v>559</v>
      </c>
      <c r="N97" s="13">
        <v>0.02</v>
      </c>
      <c r="O97" s="13">
        <f>N97*1</f>
        <v>0.02</v>
      </c>
    </row>
    <row r="98" spans="1:15">
      <c r="A98" t="s">
        <v>560</v>
      </c>
      <c r="B98" t="s">
        <v>561</v>
      </c>
      <c r="C98" t="s">
        <v>562</v>
      </c>
      <c r="D98">
        <v>1</v>
      </c>
      <c r="E98">
        <f>B1*1</f>
        <v>5</v>
      </c>
      <c r="F98" t="s">
        <v>563</v>
      </c>
      <c r="G98" t="s">
        <v>564</v>
      </c>
      <c r="H98">
        <v>10000</v>
      </c>
      <c r="I98">
        <v>0</v>
      </c>
      <c r="K98" t="s">
        <v>565</v>
      </c>
      <c r="L98" t="s">
        <v>566</v>
      </c>
      <c r="N98" s="13">
        <v>0.01</v>
      </c>
      <c r="O98" s="13">
        <f>N98*1</f>
        <v>0.01</v>
      </c>
    </row>
    <row r="99" spans="1:15">
      <c r="A99" t="s">
        <v>567</v>
      </c>
      <c r="B99" t="s">
        <v>568</v>
      </c>
      <c r="C99" t="s">
        <v>569</v>
      </c>
      <c r="D99">
        <v>1</v>
      </c>
      <c r="E99">
        <f>B1*1</f>
        <v>5</v>
      </c>
      <c r="F99" t="s">
        <v>570</v>
      </c>
      <c r="G99" t="s">
        <v>571</v>
      </c>
      <c r="H99">
        <v>9572</v>
      </c>
      <c r="I99">
        <v>0</v>
      </c>
      <c r="K99" t="s">
        <v>572</v>
      </c>
      <c r="N99" s="13">
        <v>0.01</v>
      </c>
      <c r="O99" s="13">
        <f>N99*1</f>
        <v>0.01</v>
      </c>
    </row>
    <row r="100" spans="1:15">
      <c r="A100" t="s">
        <v>573</v>
      </c>
      <c r="B100" t="s">
        <v>574</v>
      </c>
      <c r="C100" t="s">
        <v>575</v>
      </c>
      <c r="D100">
        <v>4</v>
      </c>
      <c r="E100">
        <f>B1*4</f>
        <v>20</v>
      </c>
      <c r="F100" t="s">
        <v>576</v>
      </c>
      <c r="G100" t="s">
        <v>577</v>
      </c>
      <c r="H100">
        <v>10000</v>
      </c>
      <c r="I100">
        <v>0</v>
      </c>
      <c r="N100" s="13">
        <v>0.01</v>
      </c>
      <c r="O100" s="13">
        <f>N100*4</f>
        <v>0.04</v>
      </c>
    </row>
    <row r="101" spans="1:15">
      <c r="A101" t="s">
        <v>578</v>
      </c>
      <c r="B101" t="s">
        <v>579</v>
      </c>
      <c r="C101" t="s">
        <v>580</v>
      </c>
      <c r="D101">
        <v>4</v>
      </c>
      <c r="E101">
        <f>B1*4</f>
        <v>20</v>
      </c>
      <c r="F101" t="s">
        <v>581</v>
      </c>
      <c r="G101" t="s">
        <v>582</v>
      </c>
      <c r="H101">
        <v>22742</v>
      </c>
      <c r="I101">
        <v>0</v>
      </c>
      <c r="N101" s="13">
        <v>0.01</v>
      </c>
      <c r="O101" s="13">
        <f>N101*4</f>
        <v>0.04</v>
      </c>
    </row>
    <row r="102" spans="1:15">
      <c r="A102" t="s">
        <v>583</v>
      </c>
      <c r="B102" t="s">
        <v>584</v>
      </c>
      <c r="C102" t="s">
        <v>585</v>
      </c>
      <c r="D102">
        <v>1</v>
      </c>
      <c r="E102">
        <f>B1*1</f>
        <v>5</v>
      </c>
      <c r="F102" t="s">
        <v>586</v>
      </c>
      <c r="G102" t="s">
        <v>587</v>
      </c>
      <c r="H102">
        <v>8875</v>
      </c>
      <c r="I102">
        <v>0</v>
      </c>
      <c r="K102" t="s">
        <v>588</v>
      </c>
      <c r="N102" s="13">
        <v>0.01</v>
      </c>
      <c r="O102" s="13">
        <f>N102*1</f>
        <v>0.01</v>
      </c>
    </row>
    <row r="103" spans="1:15">
      <c r="A103" t="s">
        <v>589</v>
      </c>
      <c r="B103" t="s">
        <v>590</v>
      </c>
      <c r="C103" t="s">
        <v>591</v>
      </c>
      <c r="D103">
        <v>1</v>
      </c>
      <c r="E103">
        <f>B1*1</f>
        <v>5</v>
      </c>
      <c r="F103" t="s">
        <v>592</v>
      </c>
      <c r="G103" t="s">
        <v>593</v>
      </c>
      <c r="H103">
        <v>100</v>
      </c>
      <c r="I103">
        <v>0</v>
      </c>
      <c r="N103" s="13">
        <v>0.08</v>
      </c>
      <c r="O103" s="13">
        <f>N103*1</f>
        <v>0.08</v>
      </c>
    </row>
    <row r="104" spans="1:15">
      <c r="A104" t="s">
        <v>594</v>
      </c>
      <c r="B104" t="s">
        <v>595</v>
      </c>
      <c r="C104" t="s">
        <v>596</v>
      </c>
      <c r="D104">
        <v>2</v>
      </c>
      <c r="E104">
        <f>B1*2</f>
        <v>10</v>
      </c>
      <c r="F104" t="s">
        <v>597</v>
      </c>
      <c r="G104" t="s">
        <v>598</v>
      </c>
      <c r="H104">
        <v>1208</v>
      </c>
      <c r="I104">
        <v>0</v>
      </c>
      <c r="N104" s="13">
        <v>0.01</v>
      </c>
      <c r="O104" s="13">
        <f>N104*2</f>
        <v>0.02</v>
      </c>
    </row>
    <row r="105" spans="1:15">
      <c r="A105" t="s">
        <v>599</v>
      </c>
      <c r="B105" t="s">
        <v>600</v>
      </c>
      <c r="C105" t="s">
        <v>601</v>
      </c>
      <c r="D105">
        <v>1</v>
      </c>
      <c r="E105">
        <f>B1*1</f>
        <v>5</v>
      </c>
      <c r="F105" t="s">
        <v>602</v>
      </c>
      <c r="G105" t="s">
        <v>603</v>
      </c>
      <c r="H105">
        <v>466</v>
      </c>
      <c r="I105">
        <v>0</v>
      </c>
      <c r="K105" t="s">
        <v>604</v>
      </c>
      <c r="L105" t="s">
        <v>605</v>
      </c>
      <c r="N105" s="13">
        <v>0.02</v>
      </c>
      <c r="O105" s="13">
        <f>N105*1</f>
        <v>0.02</v>
      </c>
    </row>
    <row r="106" spans="1:15">
      <c r="A106" t="s">
        <v>606</v>
      </c>
      <c r="B106" t="s">
        <v>607</v>
      </c>
      <c r="C106" t="s">
        <v>608</v>
      </c>
      <c r="D106">
        <v>1</v>
      </c>
      <c r="E106">
        <f>B1*1</f>
        <v>5</v>
      </c>
      <c r="F106" t="s">
        <v>609</v>
      </c>
      <c r="G106" t="s">
        <v>610</v>
      </c>
      <c r="H106">
        <v>9830</v>
      </c>
      <c r="I106">
        <v>0</v>
      </c>
      <c r="K106" t="s">
        <v>611</v>
      </c>
      <c r="N106" s="13">
        <v>0.01</v>
      </c>
      <c r="O106" s="13">
        <f>N106*1</f>
        <v>0.01</v>
      </c>
    </row>
    <row r="107" spans="1:15">
      <c r="A107" t="s">
        <v>612</v>
      </c>
      <c r="B107" t="s">
        <v>613</v>
      </c>
      <c r="C107" t="s">
        <v>614</v>
      </c>
      <c r="D107">
        <v>1</v>
      </c>
      <c r="E107">
        <f>B1*1</f>
        <v>5</v>
      </c>
      <c r="F107" t="s">
        <v>615</v>
      </c>
      <c r="G107" t="s">
        <v>616</v>
      </c>
      <c r="H107">
        <v>905</v>
      </c>
      <c r="I107">
        <v>0</v>
      </c>
      <c r="K107" t="s">
        <v>617</v>
      </c>
      <c r="L107" t="s">
        <v>618</v>
      </c>
      <c r="N107" s="13">
        <v>0.01</v>
      </c>
      <c r="O107" s="13">
        <f>N107*1</f>
        <v>0.01</v>
      </c>
    </row>
    <row r="108" spans="1:15">
      <c r="A108" t="s">
        <v>619</v>
      </c>
      <c r="B108" t="s">
        <v>620</v>
      </c>
      <c r="C108" t="s">
        <v>621</v>
      </c>
      <c r="D108">
        <v>1</v>
      </c>
      <c r="E108">
        <f>B1*1</f>
        <v>5</v>
      </c>
      <c r="F108" t="s">
        <v>622</v>
      </c>
      <c r="G108" t="s">
        <v>623</v>
      </c>
      <c r="H108">
        <v>9575</v>
      </c>
      <c r="I108">
        <v>0</v>
      </c>
      <c r="K108" t="s">
        <v>624</v>
      </c>
      <c r="L108" t="s">
        <v>625</v>
      </c>
      <c r="N108" s="13">
        <v>0.01</v>
      </c>
      <c r="O108" s="13">
        <f>N108*1</f>
        <v>0.01</v>
      </c>
    </row>
    <row r="109" spans="1:15">
      <c r="A109" t="s">
        <v>626</v>
      </c>
      <c r="B109" t="s">
        <v>627</v>
      </c>
      <c r="C109" t="s">
        <v>628</v>
      </c>
      <c r="D109">
        <v>1</v>
      </c>
      <c r="E109">
        <f>B1*1</f>
        <v>5</v>
      </c>
      <c r="F109" t="s">
        <v>629</v>
      </c>
      <c r="G109" t="s">
        <v>630</v>
      </c>
      <c r="H109">
        <v>9930</v>
      </c>
      <c r="I109">
        <v>0</v>
      </c>
      <c r="K109" t="s">
        <v>631</v>
      </c>
      <c r="N109" s="13">
        <v>0.01</v>
      </c>
      <c r="O109" s="13">
        <f>N109*1</f>
        <v>0.01</v>
      </c>
    </row>
    <row r="110" spans="1:15">
      <c r="A110" t="s">
        <v>632</v>
      </c>
      <c r="B110" t="s">
        <v>633</v>
      </c>
      <c r="C110" t="s">
        <v>634</v>
      </c>
      <c r="D110">
        <v>1</v>
      </c>
      <c r="E110">
        <f>B1*1</f>
        <v>5</v>
      </c>
      <c r="F110" t="s">
        <v>635</v>
      </c>
      <c r="G110" t="s">
        <v>636</v>
      </c>
      <c r="H110">
        <v>20860</v>
      </c>
      <c r="I110">
        <v>0</v>
      </c>
      <c r="K110" t="s">
        <v>637</v>
      </c>
      <c r="N110" s="13">
        <v>0.01</v>
      </c>
      <c r="O110" s="13">
        <f>N110*1</f>
        <v>0.01</v>
      </c>
    </row>
    <row r="111" spans="1:15">
      <c r="A111" t="s">
        <v>638</v>
      </c>
      <c r="B111" t="s">
        <v>639</v>
      </c>
      <c r="C111" t="s">
        <v>640</v>
      </c>
      <c r="D111">
        <v>1</v>
      </c>
      <c r="E111">
        <f>B1*1</f>
        <v>5</v>
      </c>
      <c r="F111" t="s">
        <v>641</v>
      </c>
      <c r="G111" t="s">
        <v>642</v>
      </c>
      <c r="H111">
        <v>100</v>
      </c>
      <c r="I111">
        <v>0</v>
      </c>
      <c r="K111" t="s">
        <v>643</v>
      </c>
      <c r="L111" t="s">
        <v>644</v>
      </c>
      <c r="N111" s="13">
        <v>0.08</v>
      </c>
      <c r="O111" s="13">
        <f>N111*1</f>
        <v>0.08</v>
      </c>
    </row>
    <row r="112" spans="1:15">
      <c r="A112" t="s">
        <v>645</v>
      </c>
      <c r="B112" t="s">
        <v>646</v>
      </c>
      <c r="C112" t="s">
        <v>647</v>
      </c>
      <c r="D112">
        <v>1</v>
      </c>
      <c r="E112">
        <f>B1*1</f>
        <v>5</v>
      </c>
      <c r="F112" t="s">
        <v>648</v>
      </c>
      <c r="G112" t="s">
        <v>649</v>
      </c>
      <c r="H112">
        <v>9830</v>
      </c>
      <c r="I112">
        <v>0</v>
      </c>
      <c r="K112" t="s">
        <v>650</v>
      </c>
      <c r="N112" s="13">
        <v>0.01</v>
      </c>
      <c r="O112" s="13">
        <f>N112*1</f>
        <v>0.01</v>
      </c>
    </row>
    <row r="113" spans="1:15">
      <c r="A113" t="s">
        <v>651</v>
      </c>
      <c r="B113" t="s">
        <v>652</v>
      </c>
      <c r="C113" t="s">
        <v>653</v>
      </c>
      <c r="D113">
        <v>1</v>
      </c>
      <c r="E113">
        <f>B1*1</f>
        <v>5</v>
      </c>
      <c r="F113" t="s">
        <v>654</v>
      </c>
      <c r="G113" t="s">
        <v>655</v>
      </c>
      <c r="H113">
        <v>9970</v>
      </c>
      <c r="I113">
        <v>0</v>
      </c>
      <c r="N113" s="13">
        <v>0.01</v>
      </c>
      <c r="O113" s="13">
        <f>N113*1</f>
        <v>0.01</v>
      </c>
    </row>
    <row r="114" spans="1:15">
      <c r="A114" t="s">
        <v>656</v>
      </c>
      <c r="B114" t="s">
        <v>657</v>
      </c>
      <c r="C114" t="s">
        <v>658</v>
      </c>
      <c r="D114">
        <v>1</v>
      </c>
      <c r="E114">
        <f>B1*1</f>
        <v>5</v>
      </c>
      <c r="F114" t="s">
        <v>659</v>
      </c>
      <c r="G114" t="s">
        <v>660</v>
      </c>
      <c r="H114">
        <v>10000</v>
      </c>
      <c r="I114">
        <v>0</v>
      </c>
      <c r="K114" t="s">
        <v>661</v>
      </c>
      <c r="N114" s="13">
        <v>0.01</v>
      </c>
      <c r="O114" s="13">
        <f>N114*1</f>
        <v>0.01</v>
      </c>
    </row>
    <row r="115" spans="1:15">
      <c r="A115" t="s">
        <v>662</v>
      </c>
      <c r="B115" t="s">
        <v>663</v>
      </c>
      <c r="C115" t="s">
        <v>664</v>
      </c>
      <c r="D115">
        <v>1</v>
      </c>
      <c r="E115">
        <f>B1*1</f>
        <v>5</v>
      </c>
      <c r="F115" t="s">
        <v>665</v>
      </c>
      <c r="G115" t="s">
        <v>666</v>
      </c>
      <c r="H115">
        <v>10000</v>
      </c>
      <c r="I115">
        <v>0</v>
      </c>
      <c r="K115" t="s">
        <v>667</v>
      </c>
      <c r="L115" t="s">
        <v>668</v>
      </c>
      <c r="N115" s="13">
        <v>0.01</v>
      </c>
      <c r="O115" s="13">
        <f>N115*1</f>
        <v>0.01</v>
      </c>
    </row>
    <row r="116" spans="1:15">
      <c r="A116" t="s">
        <v>675</v>
      </c>
      <c r="B116" t="s">
        <v>676</v>
      </c>
      <c r="C116" t="s">
        <v>677</v>
      </c>
      <c r="D116">
        <v>1</v>
      </c>
      <c r="E116">
        <f>B1*1</f>
        <v>5</v>
      </c>
      <c r="F116" t="s">
        <v>678</v>
      </c>
      <c r="H116">
        <v>0</v>
      </c>
      <c r="I116">
        <v>0</v>
      </c>
      <c r="K116" t="s">
        <v>679</v>
      </c>
      <c r="L116" t="s">
        <v>680</v>
      </c>
      <c r="N116" s="13">
        <v>0</v>
      </c>
      <c r="O116" s="13">
        <f>N116*1</f>
        <v>0</v>
      </c>
    </row>
    <row r="117" spans="1:15">
      <c r="A117" t="s">
        <v>681</v>
      </c>
      <c r="B117" t="s">
        <v>682</v>
      </c>
      <c r="C117" t="s">
        <v>683</v>
      </c>
      <c r="D117">
        <v>1</v>
      </c>
      <c r="E117">
        <f>B1*1</f>
        <v>5</v>
      </c>
      <c r="F117" t="s">
        <v>684</v>
      </c>
      <c r="G117" t="s">
        <v>685</v>
      </c>
      <c r="H117">
        <v>0</v>
      </c>
      <c r="I117">
        <v>25</v>
      </c>
      <c r="N117" s="13">
        <v>0</v>
      </c>
      <c r="O117" s="13">
        <f>N117*1</f>
        <v>0.0</v>
      </c>
    </row>
    <row r="118" spans="1:15">
      <c r="A118" t="s">
        <v>686</v>
      </c>
      <c r="B118" t="s">
        <v>687</v>
      </c>
      <c r="C118" t="s">
        <v>688</v>
      </c>
      <c r="D118">
        <v>1</v>
      </c>
      <c r="E118">
        <f>B1*1</f>
        <v>5</v>
      </c>
      <c r="F118" t="s">
        <v>689</v>
      </c>
      <c r="G118" t="s">
        <v>690</v>
      </c>
      <c r="H118">
        <v>785</v>
      </c>
      <c r="I118">
        <v>0</v>
      </c>
      <c r="K118" t="s">
        <v>691</v>
      </c>
      <c r="L118" t="s">
        <v>692</v>
      </c>
      <c r="N118" s="13">
        <v>0.02</v>
      </c>
      <c r="O118" s="13">
        <f>N118*1</f>
        <v>0.02</v>
      </c>
    </row>
    <row r="119" spans="1:15">
      <c r="A119" t="s">
        <v>693</v>
      </c>
      <c r="B119" t="s">
        <v>694</v>
      </c>
      <c r="C119" t="s">
        <v>695</v>
      </c>
      <c r="D119">
        <v>28</v>
      </c>
      <c r="E119">
        <f>B1*28</f>
        <v>140</v>
      </c>
      <c r="F119" t="s">
        <v>696</v>
      </c>
      <c r="G119" t="s">
        <v>697</v>
      </c>
      <c r="H119">
        <v>1055</v>
      </c>
      <c r="I119">
        <v>0</v>
      </c>
      <c r="N119" s="13">
        <v>0.05</v>
      </c>
      <c r="O119" s="13">
        <f>N119*28</f>
        <v>1.4000000000000001</v>
      </c>
    </row>
    <row r="120" spans="1:15">
      <c r="A120" t="s">
        <v>698</v>
      </c>
      <c r="B120" t="s">
        <v>699</v>
      </c>
      <c r="C120" t="s">
        <v>700</v>
      </c>
      <c r="D120">
        <v>1</v>
      </c>
      <c r="E120">
        <f>B1*1</f>
        <v>5</v>
      </c>
      <c r="F120" t="s">
        <v>701</v>
      </c>
      <c r="G120" t="s">
        <v>702</v>
      </c>
      <c r="H120">
        <v>210</v>
      </c>
      <c r="I120">
        <v>0</v>
      </c>
      <c r="K120" t="s">
        <v>703</v>
      </c>
      <c r="L120" t="s">
        <v>704</v>
      </c>
      <c r="N120" s="13">
        <v>0.29</v>
      </c>
      <c r="O120" s="13">
        <f>N120*1</f>
        <v>0.29</v>
      </c>
    </row>
    <row r="121" spans="1:15">
      <c r="A121" t="s">
        <v>705</v>
      </c>
      <c r="B121" t="s">
        <v>706</v>
      </c>
      <c r="C121" t="s">
        <v>707</v>
      </c>
      <c r="D121">
        <v>1</v>
      </c>
      <c r="E121">
        <f>B1*1</f>
        <v>5</v>
      </c>
      <c r="F121" t="s">
        <v>708</v>
      </c>
      <c r="G121" t="s">
        <v>709</v>
      </c>
      <c r="H121">
        <v>0</v>
      </c>
      <c r="I121">
        <v>5537</v>
      </c>
      <c r="K121" t="s">
        <v>710</v>
      </c>
      <c r="L121" t="s">
        <v>711</v>
      </c>
      <c r="N121" s="13">
        <v>3.97</v>
      </c>
      <c r="O121" s="13">
        <f>N121*1</f>
        <v>3.97</v>
      </c>
    </row>
    <row r="122" spans="1:15">
      <c r="A122" t="s">
        <v>712</v>
      </c>
      <c r="B122" t="s">
        <v>713</v>
      </c>
      <c r="C122" t="s">
        <v>714</v>
      </c>
      <c r="D122">
        <v>1</v>
      </c>
      <c r="E122">
        <f>B1*1</f>
        <v>5</v>
      </c>
      <c r="F122" t="s">
        <v>715</v>
      </c>
      <c r="H122">
        <v>0</v>
      </c>
      <c r="I122">
        <v>0</v>
      </c>
      <c r="K122" t="s">
        <v>716</v>
      </c>
      <c r="N122" s="13">
        <v>0</v>
      </c>
      <c r="O122" s="13">
        <f>N122*1</f>
        <v>0</v>
      </c>
    </row>
    <row r="123" spans="1:15">
      <c r="A123" t="s">
        <v>717</v>
      </c>
      <c r="B123" t="s">
        <v>718</v>
      </c>
      <c r="C123" t="s">
        <v>719</v>
      </c>
      <c r="D123">
        <v>1</v>
      </c>
      <c r="E123">
        <f>B1*1</f>
        <v>5</v>
      </c>
      <c r="F123" t="s">
        <v>720</v>
      </c>
      <c r="G123" t="s">
        <v>721</v>
      </c>
      <c r="H123">
        <v>20</v>
      </c>
      <c r="I123">
        <v>0</v>
      </c>
      <c r="N123" s="13">
        <v>0.98</v>
      </c>
      <c r="O123" s="13">
        <f>N123*1</f>
        <v>0.98</v>
      </c>
    </row>
    <row r="124" spans="1:15">
      <c r="A124" t="s">
        <v>722</v>
      </c>
      <c r="B124" t="s">
        <v>723</v>
      </c>
      <c r="C124" t="s">
        <v>724</v>
      </c>
      <c r="D124">
        <v>1</v>
      </c>
      <c r="E124">
        <f>B1*1</f>
        <v>5</v>
      </c>
      <c r="F124" t="s">
        <v>725</v>
      </c>
      <c r="G124" t="s">
        <v>726</v>
      </c>
      <c r="H124">
        <v>10</v>
      </c>
      <c r="I124">
        <v>0</v>
      </c>
      <c r="N124" s="13">
        <v>8.220000000000001</v>
      </c>
      <c r="O124" s="13">
        <f>N124*1</f>
        <v>8.22</v>
      </c>
    </row>
    <row r="125" spans="1:15">
      <c r="A125" t="s">
        <v>727</v>
      </c>
      <c r="B125" t="s">
        <v>728</v>
      </c>
      <c r="C125" t="s">
        <v>729</v>
      </c>
      <c r="D125">
        <v>1</v>
      </c>
      <c r="E125">
        <f>B1*1</f>
        <v>5</v>
      </c>
      <c r="F125" t="s">
        <v>730</v>
      </c>
      <c r="G125" t="s">
        <v>731</v>
      </c>
      <c r="H125">
        <v>1145</v>
      </c>
      <c r="I125">
        <v>0</v>
      </c>
      <c r="N125" s="13">
        <v>0.14</v>
      </c>
      <c r="O125" s="13">
        <f>N125*1</f>
        <v>0.14</v>
      </c>
    </row>
    <row r="126" spans="1:15">
      <c r="A126" t="s">
        <v>732</v>
      </c>
      <c r="B126" t="s">
        <v>733</v>
      </c>
      <c r="C126" t="s">
        <v>734</v>
      </c>
      <c r="D126">
        <v>3</v>
      </c>
      <c r="E126">
        <f>B1*3</f>
        <v>15</v>
      </c>
      <c r="F126" t="s">
        <v>735</v>
      </c>
      <c r="G126" t="s">
        <v>736</v>
      </c>
      <c r="H126">
        <v>0</v>
      </c>
      <c r="I126">
        <v>0</v>
      </c>
      <c r="K126" t="s">
        <v>737</v>
      </c>
      <c r="L126" t="s">
        <v>738</v>
      </c>
      <c r="N126" s="13">
        <v>0</v>
      </c>
      <c r="O126" s="13">
        <f>N126*3</f>
        <v>0.0</v>
      </c>
    </row>
    <row r="127" spans="1:15">
      <c r="A127" t="s">
        <v>739</v>
      </c>
      <c r="B127" t="s">
        <v>740</v>
      </c>
      <c r="C127" t="s">
        <v>741</v>
      </c>
      <c r="D127">
        <v>1</v>
      </c>
      <c r="E127">
        <f>B1*1</f>
        <v>5</v>
      </c>
      <c r="F127" t="s">
        <v>742</v>
      </c>
      <c r="G127" t="s">
        <v>743</v>
      </c>
      <c r="H127">
        <v>100</v>
      </c>
      <c r="I127">
        <v>0</v>
      </c>
      <c r="K127" t="s">
        <v>744</v>
      </c>
      <c r="L127" t="s">
        <v>745</v>
      </c>
      <c r="N127" s="13">
        <v>0.05</v>
      </c>
      <c r="O127" s="13">
        <f>N127*1</f>
        <v>0.05</v>
      </c>
    </row>
    <row r="128" spans="1:15">
      <c r="A128" t="s">
        <v>746</v>
      </c>
      <c r="B128" t="s">
        <v>747</v>
      </c>
      <c r="C128" t="s">
        <v>748</v>
      </c>
      <c r="D128">
        <v>1</v>
      </c>
      <c r="E128">
        <f>B1*1</f>
        <v>5</v>
      </c>
      <c r="F128" t="s">
        <v>749</v>
      </c>
      <c r="G128" t="s">
        <v>750</v>
      </c>
      <c r="H128">
        <v>100</v>
      </c>
      <c r="I128">
        <v>0</v>
      </c>
      <c r="K128" t="s">
        <v>751</v>
      </c>
      <c r="L128" t="s">
        <v>752</v>
      </c>
      <c r="N128" s="13">
        <v>0.21</v>
      </c>
      <c r="O128" s="13">
        <f>N128*1</f>
        <v>0.21</v>
      </c>
    </row>
    <row r="129" spans="1:15">
      <c r="A129" t="s">
        <v>753</v>
      </c>
      <c r="B129" t="s">
        <v>754</v>
      </c>
      <c r="C129" t="s">
        <v>755</v>
      </c>
      <c r="D129">
        <v>1</v>
      </c>
      <c r="E129">
        <f>B1*1</f>
        <v>5</v>
      </c>
      <c r="F129" t="s">
        <v>756</v>
      </c>
      <c r="G129" t="s">
        <v>757</v>
      </c>
      <c r="H129">
        <v>0</v>
      </c>
      <c r="I129">
        <v>50</v>
      </c>
      <c r="K129" t="s">
        <v>758</v>
      </c>
      <c r="L129" t="s">
        <v>759</v>
      </c>
      <c r="N129" s="13">
        <v>4.32</v>
      </c>
      <c r="O129" s="13">
        <f>N129*1</f>
        <v>4.32</v>
      </c>
    </row>
    <row r="130" spans="1:15">
      <c r="A130" t="s">
        <v>760</v>
      </c>
      <c r="B130" t="s">
        <v>761</v>
      </c>
      <c r="C130" t="s">
        <v>762</v>
      </c>
      <c r="D130">
        <v>1</v>
      </c>
      <c r="E130">
        <f>B1*1</f>
        <v>5</v>
      </c>
      <c r="F130" t="s">
        <v>763</v>
      </c>
      <c r="G130" t="s">
        <v>764</v>
      </c>
      <c r="H130">
        <v>0</v>
      </c>
      <c r="I130">
        <v>15</v>
      </c>
      <c r="K130" t="s">
        <v>765</v>
      </c>
      <c r="L130" t="s">
        <v>766</v>
      </c>
      <c r="N130" s="13">
        <v>5.74</v>
      </c>
      <c r="O130" s="13">
        <f>N130*1</f>
        <v>5.74</v>
      </c>
    </row>
    <row r="131" spans="1:15">
      <c r="A131" t="s">
        <v>767</v>
      </c>
      <c r="B131" t="s">
        <v>768</v>
      </c>
      <c r="C131" t="s">
        <v>769</v>
      </c>
      <c r="D131">
        <v>1</v>
      </c>
      <c r="E131">
        <f>B1*1</f>
        <v>5</v>
      </c>
      <c r="F131" t="s">
        <v>770</v>
      </c>
      <c r="G131" t="s">
        <v>771</v>
      </c>
      <c r="H131">
        <v>200</v>
      </c>
      <c r="I131">
        <v>0</v>
      </c>
      <c r="N131" s="13">
        <v>0.06</v>
      </c>
      <c r="O131" s="13">
        <f>N131*1</f>
        <v>0.06</v>
      </c>
    </row>
    <row r="132" spans="1:15">
      <c r="A132" t="s">
        <v>772</v>
      </c>
      <c r="B132" t="s">
        <v>773</v>
      </c>
      <c r="C132" t="s">
        <v>774</v>
      </c>
      <c r="D132">
        <v>1</v>
      </c>
      <c r="E132">
        <f>B1*1</f>
        <v>5</v>
      </c>
      <c r="F132" t="s">
        <v>775</v>
      </c>
      <c r="G132" t="s">
        <v>776</v>
      </c>
      <c r="H132">
        <v>0</v>
      </c>
      <c r="I132">
        <v>10</v>
      </c>
      <c r="K132" t="s">
        <v>777</v>
      </c>
      <c r="M132" t="s">
        <v>778</v>
      </c>
      <c r="N132" s="13">
        <v>18.93</v>
      </c>
      <c r="O132" s="13">
        <f>N132*1</f>
        <v>18.93</v>
      </c>
    </row>
    <row r="133" spans="1:15">
      <c r="A133" t="s">
        <v>779</v>
      </c>
      <c r="B133" t="s">
        <v>780</v>
      </c>
      <c r="C133" t="s">
        <v>781</v>
      </c>
      <c r="D133">
        <v>1</v>
      </c>
      <c r="E133">
        <f>B1*1</f>
        <v>5</v>
      </c>
      <c r="F133" t="s">
        <v>782</v>
      </c>
      <c r="G133" t="s">
        <v>783</v>
      </c>
      <c r="H133">
        <v>71</v>
      </c>
      <c r="I133">
        <v>0</v>
      </c>
      <c r="N133" s="13">
        <v>0.57</v>
      </c>
      <c r="O133" s="13">
        <f>N133*1</f>
        <v>0.57</v>
      </c>
    </row>
    <row r="134" spans="1:15">
      <c r="A134" t="s">
        <v>784</v>
      </c>
      <c r="B134" t="s">
        <v>785</v>
      </c>
      <c r="C134" t="s">
        <v>786</v>
      </c>
      <c r="D134">
        <v>1</v>
      </c>
      <c r="E134">
        <f>B1*1</f>
        <v>5</v>
      </c>
      <c r="F134" t="s">
        <v>787</v>
      </c>
      <c r="G134" t="s">
        <v>788</v>
      </c>
      <c r="H134">
        <v>305</v>
      </c>
      <c r="I134">
        <v>0</v>
      </c>
      <c r="K134" t="s">
        <v>789</v>
      </c>
      <c r="L134" t="s">
        <v>790</v>
      </c>
      <c r="N134" s="13">
        <v>0.04</v>
      </c>
      <c r="O134" s="13">
        <f>N134*1</f>
        <v>0.04</v>
      </c>
    </row>
    <row r="135" spans="1:15">
      <c r="A135" t="s">
        <v>791</v>
      </c>
      <c r="B135" t="s">
        <v>792</v>
      </c>
      <c r="C135" t="s">
        <v>793</v>
      </c>
      <c r="D135">
        <v>1</v>
      </c>
      <c r="E135">
        <f>B1*1</f>
        <v>5</v>
      </c>
      <c r="F135" t="s">
        <v>794</v>
      </c>
      <c r="G135" t="s">
        <v>795</v>
      </c>
      <c r="H135">
        <v>200</v>
      </c>
      <c r="I135">
        <v>5</v>
      </c>
      <c r="K135" t="s">
        <v>796</v>
      </c>
      <c r="L135" t="s">
        <v>797</v>
      </c>
      <c r="N135" s="13">
        <v>1.65</v>
      </c>
      <c r="O135" s="13">
        <f>N135*1</f>
        <v>1.65</v>
      </c>
    </row>
    <row r="136" spans="1:15">
      <c r="A136" t="s">
        <v>798</v>
      </c>
      <c r="B136" t="s">
        <v>799</v>
      </c>
      <c r="C136" t="s">
        <v>800</v>
      </c>
      <c r="D136">
        <v>1</v>
      </c>
      <c r="E136">
        <f>B1*1</f>
        <v>5</v>
      </c>
      <c r="F136" t="s">
        <v>801</v>
      </c>
      <c r="G136" t="s">
        <v>802</v>
      </c>
      <c r="H136">
        <v>50</v>
      </c>
      <c r="I136">
        <v>0</v>
      </c>
      <c r="K136" t="s">
        <v>803</v>
      </c>
      <c r="L136" t="s">
        <v>804</v>
      </c>
      <c r="N136" s="13">
        <v>0.3</v>
      </c>
      <c r="O136" s="13">
        <f>N136*1</f>
        <v>0.3</v>
      </c>
    </row>
    <row r="137" spans="1:15">
      <c r="A137" t="s">
        <v>805</v>
      </c>
      <c r="B137" t="s">
        <v>806</v>
      </c>
      <c r="C137" t="s">
        <v>807</v>
      </c>
      <c r="D137">
        <v>1</v>
      </c>
      <c r="E137">
        <f>B1*1</f>
        <v>5</v>
      </c>
      <c r="F137" t="s">
        <v>808</v>
      </c>
      <c r="G137" t="s">
        <v>809</v>
      </c>
      <c r="H137">
        <v>1081</v>
      </c>
      <c r="I137">
        <v>0</v>
      </c>
      <c r="N137" s="13">
        <v>0.02</v>
      </c>
      <c r="O137" s="13">
        <f>N137*1</f>
        <v>0.02</v>
      </c>
    </row>
    <row r="138" spans="1:15">
      <c r="A138" t="s">
        <v>810</v>
      </c>
      <c r="B138" t="s">
        <v>811</v>
      </c>
      <c r="C138" t="s">
        <v>812</v>
      </c>
      <c r="D138">
        <v>2</v>
      </c>
      <c r="E138">
        <f>B1*2</f>
        <v>10</v>
      </c>
      <c r="F138" t="s">
        <v>813</v>
      </c>
      <c r="G138" t="s">
        <v>814</v>
      </c>
      <c r="H138">
        <v>0</v>
      </c>
      <c r="I138">
        <v>0</v>
      </c>
      <c r="K138" t="s">
        <v>815</v>
      </c>
      <c r="N138" s="13">
        <v>0</v>
      </c>
      <c r="O138" s="13">
        <f>N138*2</f>
        <v>0.0</v>
      </c>
    </row>
    <row r="139" spans="1:15">
      <c r="A139" t="s">
        <v>816</v>
      </c>
      <c r="B139" t="s">
        <v>817</v>
      </c>
      <c r="C139" t="s">
        <v>818</v>
      </c>
      <c r="D139">
        <v>1</v>
      </c>
      <c r="E139">
        <f>B1*1</f>
        <v>5</v>
      </c>
      <c r="F139" t="s">
        <v>819</v>
      </c>
      <c r="G139" t="s">
        <v>820</v>
      </c>
      <c r="H139">
        <v>15</v>
      </c>
      <c r="I139">
        <v>0</v>
      </c>
      <c r="K139" t="s">
        <v>821</v>
      </c>
      <c r="L139" t="s">
        <v>822</v>
      </c>
      <c r="N139" s="13">
        <v>2.69</v>
      </c>
      <c r="O139" s="13">
        <f>N139*1</f>
        <v>2.69</v>
      </c>
    </row>
    <row r="140" spans="1:15">
      <c r="A140" t="s">
        <v>823</v>
      </c>
      <c r="B140" t="s">
        <v>824</v>
      </c>
      <c r="C140" t="s">
        <v>825</v>
      </c>
      <c r="D140">
        <v>1</v>
      </c>
      <c r="E140">
        <f>B1*1</f>
        <v>5</v>
      </c>
      <c r="F140" t="s">
        <v>826</v>
      </c>
      <c r="G140" t="s">
        <v>827</v>
      </c>
      <c r="H140">
        <v>450</v>
      </c>
      <c r="I140">
        <v>0</v>
      </c>
      <c r="N140" s="13">
        <v>0.23</v>
      </c>
      <c r="O140" s="13">
        <f>N140*1</f>
        <v>0.23</v>
      </c>
    </row>
    <row r="142" spans="1:15">
      <c r="N142" s="1" t="s">
        <v>828</v>
      </c>
      <c r="O142" s="13">
        <f>SUM(O15:O140</f>
        <v>63.97999999999998</v>
      </c>
    </row>
    <row r="146" spans="1:15">
      <c r="A146" s="3" t="s">
        <v>28</v>
      </c>
      <c r="B146" s="3" t="s">
        <v>29</v>
      </c>
      <c r="C146" s="3" t="s">
        <v>29</v>
      </c>
      <c r="D146" s="3" t="s">
        <v>29</v>
      </c>
      <c r="E146" s="3" t="s">
        <v>29</v>
      </c>
      <c r="F146" s="3" t="s">
        <v>29</v>
      </c>
      <c r="G146" s="3" t="s">
        <v>29</v>
      </c>
      <c r="H146" s="3" t="s">
        <v>29</v>
      </c>
      <c r="I146" s="3" t="s">
        <v>29</v>
      </c>
      <c r="J146" s="3" t="s">
        <v>29</v>
      </c>
      <c r="K146" s="3" t="s">
        <v>29</v>
      </c>
      <c r="L146" s="3" t="s">
        <v>29</v>
      </c>
      <c r="M146" s="3" t="s">
        <v>29</v>
      </c>
      <c r="N146" s="3" t="s">
        <v>29</v>
      </c>
      <c r="O146" s="3" t="s">
        <v>29</v>
      </c>
    </row>
    <row r="147" spans="1:15">
      <c r="A147" s="12" t="s">
        <v>13</v>
      </c>
      <c r="B147" s="12" t="s">
        <v>14</v>
      </c>
      <c r="C147" s="12" t="s">
        <v>15</v>
      </c>
      <c r="D147" s="12" t="s">
        <v>16</v>
      </c>
      <c r="E147" s="12" t="s">
        <v>17</v>
      </c>
      <c r="F147" s="12" t="s">
        <v>18</v>
      </c>
      <c r="G147" s="12" t="s">
        <v>19</v>
      </c>
      <c r="H147" s="12" t="s">
        <v>20</v>
      </c>
      <c r="I147" s="12" t="s">
        <v>21</v>
      </c>
      <c r="J147" s="12" t="s">
        <v>22</v>
      </c>
      <c r="K147" s="12" t="s">
        <v>23</v>
      </c>
      <c r="L147" s="12" t="s">
        <v>24</v>
      </c>
      <c r="M147" s="12" t="s">
        <v>25</v>
      </c>
      <c r="N147" s="12" t="s">
        <v>26</v>
      </c>
      <c r="O147" s="12" t="s">
        <v>27</v>
      </c>
    </row>
    <row r="148" spans="1:15">
      <c r="A148" t="s">
        <v>669</v>
      </c>
      <c r="B148" t="s">
        <v>670</v>
      </c>
      <c r="C148" t="s">
        <v>671</v>
      </c>
      <c r="D148">
        <v>1</v>
      </c>
      <c r="E148">
        <f>B1*1</f>
        <v>5</v>
      </c>
      <c r="F148" t="s">
        <v>672</v>
      </c>
      <c r="H148">
        <v>0</v>
      </c>
      <c r="I148">
        <v>0</v>
      </c>
      <c r="K148" t="s">
        <v>673</v>
      </c>
      <c r="L148" t="s">
        <v>674</v>
      </c>
      <c r="N148" s="13">
        <v>0</v>
      </c>
      <c r="O148" s="13">
        <f>N148*1</f>
        <v>0</v>
      </c>
    </row>
  </sheetData>
  <conditionalFormatting sqref="A100:O100">
    <cfRule type="expression" dxfId="0" priority="341">
      <formula>OR(ISBLANK($G100), $G100="")</formula>
    </cfRule>
    <cfRule type="expression" dxfId="1" priority="342">
      <formula>MAX($H100, $I100)&lt;$E100</formula>
    </cfRule>
    <cfRule type="expression" dxfId="2" priority="343">
      <formula>AND(MAX($H100, $I100)&gt;=$E100, $E100/($H100 + $I100)&lt;0.1)</formula>
    </cfRule>
    <cfRule type="expression" dxfId="3" priority="344">
      <formula>AND(MAX($H100, $I100)&gt;=$E100, $E100/($H100 + $I100)&gt;=0.1)</formula>
    </cfRule>
  </conditionalFormatting>
  <conditionalFormatting sqref="A101:O101">
    <cfRule type="expression" dxfId="0" priority="345">
      <formula>OR(ISBLANK($G101), $G101="")</formula>
    </cfRule>
    <cfRule type="expression" dxfId="1" priority="346">
      <formula>MAX($H101, $I101)&lt;$E101</formula>
    </cfRule>
    <cfRule type="expression" dxfId="2" priority="347">
      <formula>AND(MAX($H101, $I101)&gt;=$E101, $E101/($H101 + $I101)&lt;0.1)</formula>
    </cfRule>
    <cfRule type="expression" dxfId="3" priority="348">
      <formula>AND(MAX($H101, $I101)&gt;=$E101, $E101/($H101 + $I101)&gt;=0.1)</formula>
    </cfRule>
  </conditionalFormatting>
  <conditionalFormatting sqref="A102:O102">
    <cfRule type="expression" dxfId="0" priority="349">
      <formula>OR(ISBLANK($G102), $G102="")</formula>
    </cfRule>
    <cfRule type="expression" dxfId="1" priority="350">
      <formula>MAX($H102, $I102)&lt;$E102</formula>
    </cfRule>
    <cfRule type="expression" dxfId="2" priority="351">
      <formula>AND(MAX($H102, $I102)&gt;=$E102, $E102/($H102 + $I102)&lt;0.1)</formula>
    </cfRule>
    <cfRule type="expression" dxfId="3" priority="352">
      <formula>AND(MAX($H102, $I102)&gt;=$E102, $E102/($H102 + $I102)&gt;=0.1)</formula>
    </cfRule>
  </conditionalFormatting>
  <conditionalFormatting sqref="A103:O103">
    <cfRule type="expression" dxfId="0" priority="353">
      <formula>OR(ISBLANK($G103), $G103="")</formula>
    </cfRule>
    <cfRule type="expression" dxfId="1" priority="354">
      <formula>MAX($H103, $I103)&lt;$E103</formula>
    </cfRule>
    <cfRule type="expression" dxfId="2" priority="355">
      <formula>AND(MAX($H103, $I103)&gt;=$E103, $E103/($H103 + $I103)&lt;0.1)</formula>
    </cfRule>
    <cfRule type="expression" dxfId="3" priority="356">
      <formula>AND(MAX($H103, $I103)&gt;=$E103, $E103/($H103 + $I103)&gt;=0.1)</formula>
    </cfRule>
  </conditionalFormatting>
  <conditionalFormatting sqref="A104:O104">
    <cfRule type="expression" dxfId="0" priority="357">
      <formula>OR(ISBLANK($G104), $G104="")</formula>
    </cfRule>
    <cfRule type="expression" dxfId="1" priority="358">
      <formula>MAX($H104, $I104)&lt;$E104</formula>
    </cfRule>
    <cfRule type="expression" dxfId="2" priority="359">
      <formula>AND(MAX($H104, $I104)&gt;=$E104, $E104/($H104 + $I104)&lt;0.1)</formula>
    </cfRule>
    <cfRule type="expression" dxfId="3" priority="360">
      <formula>AND(MAX($H104, $I104)&gt;=$E104, $E104/($H104 + $I104)&gt;=0.1)</formula>
    </cfRule>
  </conditionalFormatting>
  <conditionalFormatting sqref="A105:O105">
    <cfRule type="expression" dxfId="0" priority="361">
      <formula>OR(ISBLANK($G105), $G105="")</formula>
    </cfRule>
    <cfRule type="expression" dxfId="1" priority="362">
      <formula>MAX($H105, $I105)&lt;$E105</formula>
    </cfRule>
    <cfRule type="expression" dxfId="2" priority="363">
      <formula>AND(MAX($H105, $I105)&gt;=$E105, $E105/($H105 + $I105)&lt;0.1)</formula>
    </cfRule>
    <cfRule type="expression" dxfId="3" priority="364">
      <formula>AND(MAX($H105, $I105)&gt;=$E105, $E105/($H105 + $I105)&gt;=0.1)</formula>
    </cfRule>
  </conditionalFormatting>
  <conditionalFormatting sqref="A106:O106">
    <cfRule type="expression" dxfId="0" priority="365">
      <formula>OR(ISBLANK($G106), $G106="")</formula>
    </cfRule>
    <cfRule type="expression" dxfId="1" priority="366">
      <formula>MAX($H106, $I106)&lt;$E106</formula>
    </cfRule>
    <cfRule type="expression" dxfId="2" priority="367">
      <formula>AND(MAX($H106, $I106)&gt;=$E106, $E106/($H106 + $I106)&lt;0.1)</formula>
    </cfRule>
    <cfRule type="expression" dxfId="3" priority="368">
      <formula>AND(MAX($H106, $I106)&gt;=$E106, $E106/($H106 + $I106)&gt;=0.1)</formula>
    </cfRule>
  </conditionalFormatting>
  <conditionalFormatting sqref="A107:O107">
    <cfRule type="expression" dxfId="0" priority="369">
      <formula>OR(ISBLANK($G107), $G107="")</formula>
    </cfRule>
    <cfRule type="expression" dxfId="1" priority="370">
      <formula>MAX($H107, $I107)&lt;$E107</formula>
    </cfRule>
    <cfRule type="expression" dxfId="2" priority="371">
      <formula>AND(MAX($H107, $I107)&gt;=$E107, $E107/($H107 + $I107)&lt;0.1)</formula>
    </cfRule>
    <cfRule type="expression" dxfId="3" priority="372">
      <formula>AND(MAX($H107, $I107)&gt;=$E107, $E107/($H107 + $I107)&gt;=0.1)</formula>
    </cfRule>
  </conditionalFormatting>
  <conditionalFormatting sqref="A108:O108">
    <cfRule type="expression" dxfId="0" priority="373">
      <formula>OR(ISBLANK($G108), $G108="")</formula>
    </cfRule>
    <cfRule type="expression" dxfId="1" priority="374">
      <formula>MAX($H108, $I108)&lt;$E108</formula>
    </cfRule>
    <cfRule type="expression" dxfId="2" priority="375">
      <formula>AND(MAX($H108, $I108)&gt;=$E108, $E108/($H108 + $I108)&lt;0.1)</formula>
    </cfRule>
    <cfRule type="expression" dxfId="3" priority="376">
      <formula>AND(MAX($H108, $I108)&gt;=$E108, $E108/($H108 + $I108)&gt;=0.1)</formula>
    </cfRule>
  </conditionalFormatting>
  <conditionalFormatting sqref="A109:O109">
    <cfRule type="expression" dxfId="0" priority="377">
      <formula>OR(ISBLANK($G109), $G109="")</formula>
    </cfRule>
    <cfRule type="expression" dxfId="1" priority="378">
      <formula>MAX($H109, $I109)&lt;$E109</formula>
    </cfRule>
    <cfRule type="expression" dxfId="2" priority="379">
      <formula>AND(MAX($H109, $I109)&gt;=$E109, $E109/($H109 + $I109)&lt;0.1)</formula>
    </cfRule>
    <cfRule type="expression" dxfId="3" priority="380">
      <formula>AND(MAX($H109, $I109)&gt;=$E109, $E109/($H109 + $I109)&gt;=0.1)</formula>
    </cfRule>
  </conditionalFormatting>
  <conditionalFormatting sqref="A110:O110">
    <cfRule type="expression" dxfId="0" priority="381">
      <formula>OR(ISBLANK($G110), $G110="")</formula>
    </cfRule>
    <cfRule type="expression" dxfId="1" priority="382">
      <formula>MAX($H110, $I110)&lt;$E110</formula>
    </cfRule>
    <cfRule type="expression" dxfId="2" priority="383">
      <formula>AND(MAX($H110, $I110)&gt;=$E110, $E110/($H110 + $I110)&lt;0.1)</formula>
    </cfRule>
    <cfRule type="expression" dxfId="3" priority="384">
      <formula>AND(MAX($H110, $I110)&gt;=$E110, $E110/($H110 + $I110)&gt;=0.1)</formula>
    </cfRule>
  </conditionalFormatting>
  <conditionalFormatting sqref="A111:O111">
    <cfRule type="expression" dxfId="0" priority="385">
      <formula>OR(ISBLANK($G111), $G111="")</formula>
    </cfRule>
    <cfRule type="expression" dxfId="1" priority="386">
      <formula>MAX($H111, $I111)&lt;$E111</formula>
    </cfRule>
    <cfRule type="expression" dxfId="2" priority="387">
      <formula>AND(MAX($H111, $I111)&gt;=$E111, $E111/($H111 + $I111)&lt;0.1)</formula>
    </cfRule>
    <cfRule type="expression" dxfId="3" priority="388">
      <formula>AND(MAX($H111, $I111)&gt;=$E111, $E111/($H111 + $I111)&gt;=0.1)</formula>
    </cfRule>
  </conditionalFormatting>
  <conditionalFormatting sqref="A112:O112">
    <cfRule type="expression" dxfId="0" priority="389">
      <formula>OR(ISBLANK($G112), $G112="")</formula>
    </cfRule>
    <cfRule type="expression" dxfId="1" priority="390">
      <formula>MAX($H112, $I112)&lt;$E112</formula>
    </cfRule>
    <cfRule type="expression" dxfId="2" priority="391">
      <formula>AND(MAX($H112, $I112)&gt;=$E112, $E112/($H112 + $I112)&lt;0.1)</formula>
    </cfRule>
    <cfRule type="expression" dxfId="3" priority="392">
      <formula>AND(MAX($H112, $I112)&gt;=$E112, $E112/($H112 + $I112)&gt;=0.1)</formula>
    </cfRule>
  </conditionalFormatting>
  <conditionalFormatting sqref="A113:O113">
    <cfRule type="expression" dxfId="0" priority="393">
      <formula>OR(ISBLANK($G113), $G113="")</formula>
    </cfRule>
    <cfRule type="expression" dxfId="1" priority="394">
      <formula>MAX($H113, $I113)&lt;$E113</formula>
    </cfRule>
    <cfRule type="expression" dxfId="2" priority="395">
      <formula>AND(MAX($H113, $I113)&gt;=$E113, $E113/($H113 + $I113)&lt;0.1)</formula>
    </cfRule>
    <cfRule type="expression" dxfId="3" priority="396">
      <formula>AND(MAX($H113, $I113)&gt;=$E113, $E113/($H113 + $I113)&gt;=0.1)</formula>
    </cfRule>
  </conditionalFormatting>
  <conditionalFormatting sqref="A114:O114">
    <cfRule type="expression" dxfId="0" priority="397">
      <formula>OR(ISBLANK($G114), $G114="")</formula>
    </cfRule>
    <cfRule type="expression" dxfId="1" priority="398">
      <formula>MAX($H114, $I114)&lt;$E114</formula>
    </cfRule>
    <cfRule type="expression" dxfId="2" priority="399">
      <formula>AND(MAX($H114, $I114)&gt;=$E114, $E114/($H114 + $I114)&lt;0.1)</formula>
    </cfRule>
    <cfRule type="expression" dxfId="3" priority="400">
      <formula>AND(MAX($H114, $I114)&gt;=$E114, $E114/($H114 + $I114)&gt;=0.1)</formula>
    </cfRule>
  </conditionalFormatting>
  <conditionalFormatting sqref="A115:O115">
    <cfRule type="expression" dxfId="0" priority="401">
      <formula>OR(ISBLANK($G115), $G115="")</formula>
    </cfRule>
    <cfRule type="expression" dxfId="1" priority="402">
      <formula>MAX($H115, $I115)&lt;$E115</formula>
    </cfRule>
    <cfRule type="expression" dxfId="2" priority="403">
      <formula>AND(MAX($H115, $I115)&gt;=$E115, $E115/($H115 + $I115)&lt;0.1)</formula>
    </cfRule>
    <cfRule type="expression" dxfId="3" priority="404">
      <formula>AND(MAX($H115, $I115)&gt;=$E115, $E115/($H115 + $I115)&gt;=0.1)</formula>
    </cfRule>
  </conditionalFormatting>
  <conditionalFormatting sqref="A116:O116">
    <cfRule type="expression" dxfId="0" priority="409">
      <formula>OR(ISBLANK($G116), $G116="")</formula>
    </cfRule>
    <cfRule type="expression" dxfId="1" priority="410">
      <formula>MAX($H116, $I116)&lt;$E116</formula>
    </cfRule>
    <cfRule type="expression" dxfId="2" priority="411">
      <formula>AND(MAX($H116, $I116)&gt;=$E116, $E116/($H116 + $I116)&lt;0.1)</formula>
    </cfRule>
    <cfRule type="expression" dxfId="3" priority="412">
      <formula>AND(MAX($H116, $I116)&gt;=$E116, $E116/($H116 + $I116)&gt;=0.1)</formula>
    </cfRule>
  </conditionalFormatting>
  <conditionalFormatting sqref="A117:O117">
    <cfRule type="expression" dxfId="0" priority="413">
      <formula>OR(ISBLANK($G117), $G117="")</formula>
    </cfRule>
    <cfRule type="expression" dxfId="1" priority="414">
      <formula>MAX($H117, $I117)&lt;$E117</formula>
    </cfRule>
    <cfRule type="expression" dxfId="2" priority="415">
      <formula>AND(MAX($H117, $I117)&gt;=$E117, $E117/($H117 + $I117)&lt;0.1)</formula>
    </cfRule>
    <cfRule type="expression" dxfId="3" priority="416">
      <formula>AND(MAX($H117, $I117)&gt;=$E117, $E117/($H117 + $I117)&gt;=0.1)</formula>
    </cfRule>
  </conditionalFormatting>
  <conditionalFormatting sqref="A118:O118">
    <cfRule type="expression" dxfId="0" priority="417">
      <formula>OR(ISBLANK($G118), $G118="")</formula>
    </cfRule>
    <cfRule type="expression" dxfId="1" priority="418">
      <formula>MAX($H118, $I118)&lt;$E118</formula>
    </cfRule>
    <cfRule type="expression" dxfId="2" priority="419">
      <formula>AND(MAX($H118, $I118)&gt;=$E118, $E118/($H118 + $I118)&lt;0.1)</formula>
    </cfRule>
    <cfRule type="expression" dxfId="3" priority="420">
      <formula>AND(MAX($H118, $I118)&gt;=$E118, $E118/($H118 + $I118)&gt;=0.1)</formula>
    </cfRule>
  </conditionalFormatting>
  <conditionalFormatting sqref="A119:O119">
    <cfRule type="expression" dxfId="0" priority="421">
      <formula>OR(ISBLANK($G119), $G119="")</formula>
    </cfRule>
    <cfRule type="expression" dxfId="1" priority="422">
      <formula>MAX($H119, $I119)&lt;$E119</formula>
    </cfRule>
    <cfRule type="expression" dxfId="2" priority="423">
      <formula>AND(MAX($H119, $I119)&gt;=$E119, $E119/($H119 + $I119)&lt;0.1)</formula>
    </cfRule>
    <cfRule type="expression" dxfId="3" priority="424">
      <formula>AND(MAX($H119, $I119)&gt;=$E119, $E119/($H119 + $I119)&gt;=0.1)</formula>
    </cfRule>
  </conditionalFormatting>
  <conditionalFormatting sqref="A120:O120">
    <cfRule type="expression" dxfId="0" priority="425">
      <formula>OR(ISBLANK($G120), $G120="")</formula>
    </cfRule>
    <cfRule type="expression" dxfId="1" priority="426">
      <formula>MAX($H120, $I120)&lt;$E120</formula>
    </cfRule>
    <cfRule type="expression" dxfId="2" priority="427">
      <formula>AND(MAX($H120, $I120)&gt;=$E120, $E120/($H120 + $I120)&lt;0.1)</formula>
    </cfRule>
    <cfRule type="expression" dxfId="3" priority="428">
      <formula>AND(MAX($H120, $I120)&gt;=$E120, $E120/($H120 + $I120)&gt;=0.1)</formula>
    </cfRule>
  </conditionalFormatting>
  <conditionalFormatting sqref="A121:O121">
    <cfRule type="expression" dxfId="0" priority="429">
      <formula>OR(ISBLANK($G121), $G121="")</formula>
    </cfRule>
    <cfRule type="expression" dxfId="1" priority="430">
      <formula>MAX($H121, $I121)&lt;$E121</formula>
    </cfRule>
    <cfRule type="expression" dxfId="2" priority="431">
      <formula>AND(MAX($H121, $I121)&gt;=$E121, $E121/($H121 + $I121)&lt;0.1)</formula>
    </cfRule>
    <cfRule type="expression" dxfId="3" priority="432">
      <formula>AND(MAX($H121, $I121)&gt;=$E121, $E121/($H121 + $I121)&gt;=0.1)</formula>
    </cfRule>
  </conditionalFormatting>
  <conditionalFormatting sqref="A122:O122">
    <cfRule type="expression" dxfId="0" priority="433">
      <formula>OR(ISBLANK($G122), $G122="")</formula>
    </cfRule>
    <cfRule type="expression" dxfId="1" priority="434">
      <formula>MAX($H122, $I122)&lt;$E122</formula>
    </cfRule>
    <cfRule type="expression" dxfId="2" priority="435">
      <formula>AND(MAX($H122, $I122)&gt;=$E122, $E122/($H122 + $I122)&lt;0.1)</formula>
    </cfRule>
    <cfRule type="expression" dxfId="3" priority="436">
      <formula>AND(MAX($H122, $I122)&gt;=$E122, $E122/($H122 + $I122)&gt;=0.1)</formula>
    </cfRule>
  </conditionalFormatting>
  <conditionalFormatting sqref="A123:O123">
    <cfRule type="expression" dxfId="0" priority="437">
      <formula>OR(ISBLANK($G123), $G123="")</formula>
    </cfRule>
    <cfRule type="expression" dxfId="1" priority="438">
      <formula>MAX($H123, $I123)&lt;$E123</formula>
    </cfRule>
    <cfRule type="expression" dxfId="2" priority="439">
      <formula>AND(MAX($H123, $I123)&gt;=$E123, $E123/($H123 + $I123)&lt;0.1)</formula>
    </cfRule>
    <cfRule type="expression" dxfId="3" priority="440">
      <formula>AND(MAX($H123, $I123)&gt;=$E123, $E123/($H123 + $I123)&gt;=0.1)</formula>
    </cfRule>
  </conditionalFormatting>
  <conditionalFormatting sqref="A124:O124">
    <cfRule type="expression" dxfId="0" priority="441">
      <formula>OR(ISBLANK($G124), $G124="")</formula>
    </cfRule>
    <cfRule type="expression" dxfId="1" priority="442">
      <formula>MAX($H124, $I124)&lt;$E124</formula>
    </cfRule>
    <cfRule type="expression" dxfId="2" priority="443">
      <formula>AND(MAX($H124, $I124)&gt;=$E124, $E124/($H124 + $I124)&lt;0.1)</formula>
    </cfRule>
    <cfRule type="expression" dxfId="3" priority="444">
      <formula>AND(MAX($H124, $I124)&gt;=$E124, $E124/($H124 + $I124)&gt;=0.1)</formula>
    </cfRule>
  </conditionalFormatting>
  <conditionalFormatting sqref="A125:O125">
    <cfRule type="expression" dxfId="0" priority="445">
      <formula>OR(ISBLANK($G125), $G125="")</formula>
    </cfRule>
    <cfRule type="expression" dxfId="1" priority="446">
      <formula>MAX($H125, $I125)&lt;$E125</formula>
    </cfRule>
    <cfRule type="expression" dxfId="2" priority="447">
      <formula>AND(MAX($H125, $I125)&gt;=$E125, $E125/($H125 + $I125)&lt;0.1)</formula>
    </cfRule>
    <cfRule type="expression" dxfId="3" priority="448">
      <formula>AND(MAX($H125, $I125)&gt;=$E125, $E125/($H125 + $I125)&gt;=0.1)</formula>
    </cfRule>
  </conditionalFormatting>
  <conditionalFormatting sqref="A126:O126">
    <cfRule type="expression" dxfId="0" priority="449">
      <formula>OR(ISBLANK($G126), $G126="")</formula>
    </cfRule>
    <cfRule type="expression" dxfId="1" priority="450">
      <formula>MAX($H126, $I126)&lt;$E126</formula>
    </cfRule>
    <cfRule type="expression" dxfId="2" priority="451">
      <formula>AND(MAX($H126, $I126)&gt;=$E126, $E126/($H126 + $I126)&lt;0.1)</formula>
    </cfRule>
    <cfRule type="expression" dxfId="3" priority="452">
      <formula>AND(MAX($H126, $I126)&gt;=$E126, $E126/($H126 + $I126)&gt;=0.1)</formula>
    </cfRule>
  </conditionalFormatting>
  <conditionalFormatting sqref="A127:O127">
    <cfRule type="expression" dxfId="0" priority="453">
      <formula>OR(ISBLANK($G127), $G127="")</formula>
    </cfRule>
    <cfRule type="expression" dxfId="1" priority="454">
      <formula>MAX($H127, $I127)&lt;$E127</formula>
    </cfRule>
    <cfRule type="expression" dxfId="2" priority="455">
      <formula>AND(MAX($H127, $I127)&gt;=$E127, $E127/($H127 + $I127)&lt;0.1)</formula>
    </cfRule>
    <cfRule type="expression" dxfId="3" priority="456">
      <formula>AND(MAX($H127, $I127)&gt;=$E127, $E127/($H127 + $I127)&gt;=0.1)</formula>
    </cfRule>
  </conditionalFormatting>
  <conditionalFormatting sqref="A128:O128">
    <cfRule type="expression" dxfId="0" priority="457">
      <formula>OR(ISBLANK($G128), $G128="")</formula>
    </cfRule>
    <cfRule type="expression" dxfId="1" priority="458">
      <formula>MAX($H128, $I128)&lt;$E128</formula>
    </cfRule>
    <cfRule type="expression" dxfId="2" priority="459">
      <formula>AND(MAX($H128, $I128)&gt;=$E128, $E128/($H128 + $I128)&lt;0.1)</formula>
    </cfRule>
    <cfRule type="expression" dxfId="3" priority="460">
      <formula>AND(MAX($H128, $I128)&gt;=$E128, $E128/($H128 + $I128)&gt;=0.1)</formula>
    </cfRule>
  </conditionalFormatting>
  <conditionalFormatting sqref="A129:O129">
    <cfRule type="expression" dxfId="0" priority="461">
      <formula>OR(ISBLANK($G129), $G129="")</formula>
    </cfRule>
    <cfRule type="expression" dxfId="1" priority="462">
      <formula>MAX($H129, $I129)&lt;$E129</formula>
    </cfRule>
    <cfRule type="expression" dxfId="2" priority="463">
      <formula>AND(MAX($H129, $I129)&gt;=$E129, $E129/($H129 + $I129)&lt;0.1)</formula>
    </cfRule>
    <cfRule type="expression" dxfId="3" priority="464">
      <formula>AND(MAX($H129, $I129)&gt;=$E129, $E129/($H129 + $I129)&gt;=0.1)</formula>
    </cfRule>
  </conditionalFormatting>
  <conditionalFormatting sqref="A130:O130">
    <cfRule type="expression" dxfId="0" priority="465">
      <formula>OR(ISBLANK($G130), $G130="")</formula>
    </cfRule>
    <cfRule type="expression" dxfId="1" priority="466">
      <formula>MAX($H130, $I130)&lt;$E130</formula>
    </cfRule>
    <cfRule type="expression" dxfId="2" priority="467">
      <formula>AND(MAX($H130, $I130)&gt;=$E130, $E130/($H130 + $I130)&lt;0.1)</formula>
    </cfRule>
    <cfRule type="expression" dxfId="3" priority="468">
      <formula>AND(MAX($H130, $I130)&gt;=$E130, $E130/($H130 + $I130)&gt;=0.1)</formula>
    </cfRule>
  </conditionalFormatting>
  <conditionalFormatting sqref="A131:O131">
    <cfRule type="expression" dxfId="0" priority="469">
      <formula>OR(ISBLANK($G131), $G131="")</formula>
    </cfRule>
    <cfRule type="expression" dxfId="1" priority="470">
      <formula>MAX($H131, $I131)&lt;$E131</formula>
    </cfRule>
    <cfRule type="expression" dxfId="2" priority="471">
      <formula>AND(MAX($H131, $I131)&gt;=$E131, $E131/($H131 + $I131)&lt;0.1)</formula>
    </cfRule>
    <cfRule type="expression" dxfId="3" priority="472">
      <formula>AND(MAX($H131, $I131)&gt;=$E131, $E131/($H131 + $I131)&gt;=0.1)</formula>
    </cfRule>
  </conditionalFormatting>
  <conditionalFormatting sqref="A132:O132">
    <cfRule type="expression" dxfId="0" priority="473">
      <formula>OR(ISBLANK($G132), $G132="")</formula>
    </cfRule>
    <cfRule type="expression" dxfId="1" priority="474">
      <formula>MAX($H132, $I132)&lt;$E132</formula>
    </cfRule>
    <cfRule type="expression" dxfId="2" priority="475">
      <formula>AND(MAX($H132, $I132)&gt;=$E132, $E132/($H132 + $I132)&lt;0.1)</formula>
    </cfRule>
    <cfRule type="expression" dxfId="3" priority="476">
      <formula>AND(MAX($H132, $I132)&gt;=$E132, $E132/($H132 + $I132)&gt;=0.1)</formula>
    </cfRule>
  </conditionalFormatting>
  <conditionalFormatting sqref="A133:O133">
    <cfRule type="expression" dxfId="0" priority="477">
      <formula>OR(ISBLANK($G133), $G133="")</formula>
    </cfRule>
    <cfRule type="expression" dxfId="1" priority="478">
      <formula>MAX($H133, $I133)&lt;$E133</formula>
    </cfRule>
    <cfRule type="expression" dxfId="2" priority="479">
      <formula>AND(MAX($H133, $I133)&gt;=$E133, $E133/($H133 + $I133)&lt;0.1)</formula>
    </cfRule>
    <cfRule type="expression" dxfId="3" priority="480">
      <formula>AND(MAX($H133, $I133)&gt;=$E133, $E133/($H133 + $I133)&gt;=0.1)</formula>
    </cfRule>
  </conditionalFormatting>
  <conditionalFormatting sqref="A134:O134">
    <cfRule type="expression" dxfId="0" priority="481">
      <formula>OR(ISBLANK($G134), $G134="")</formula>
    </cfRule>
    <cfRule type="expression" dxfId="1" priority="482">
      <formula>MAX($H134, $I134)&lt;$E134</formula>
    </cfRule>
    <cfRule type="expression" dxfId="2" priority="483">
      <formula>AND(MAX($H134, $I134)&gt;=$E134, $E134/($H134 + $I134)&lt;0.1)</formula>
    </cfRule>
    <cfRule type="expression" dxfId="3" priority="484">
      <formula>AND(MAX($H134, $I134)&gt;=$E134, $E134/($H134 + $I134)&gt;=0.1)</formula>
    </cfRule>
  </conditionalFormatting>
  <conditionalFormatting sqref="A135:O135">
    <cfRule type="expression" dxfId="0" priority="485">
      <formula>OR(ISBLANK($G135), $G135="")</formula>
    </cfRule>
    <cfRule type="expression" dxfId="1" priority="486">
      <formula>MAX($H135, $I135)&lt;$E135</formula>
    </cfRule>
    <cfRule type="expression" dxfId="2" priority="487">
      <formula>AND(MAX($H135, $I135)&gt;=$E135, $E135/($H135 + $I135)&lt;0.1)</formula>
    </cfRule>
    <cfRule type="expression" dxfId="3" priority="488">
      <formula>AND(MAX($H135, $I135)&gt;=$E135, $E135/($H135 + $I135)&gt;=0.1)</formula>
    </cfRule>
  </conditionalFormatting>
  <conditionalFormatting sqref="A136:O136">
    <cfRule type="expression" dxfId="0" priority="489">
      <formula>OR(ISBLANK($G136), $G136="")</formula>
    </cfRule>
    <cfRule type="expression" dxfId="1" priority="490">
      <formula>MAX($H136, $I136)&lt;$E136</formula>
    </cfRule>
    <cfRule type="expression" dxfId="2" priority="491">
      <formula>AND(MAX($H136, $I136)&gt;=$E136, $E136/($H136 + $I136)&lt;0.1)</formula>
    </cfRule>
    <cfRule type="expression" dxfId="3" priority="492">
      <formula>AND(MAX($H136, $I136)&gt;=$E136, $E136/($H136 + $I136)&gt;=0.1)</formula>
    </cfRule>
  </conditionalFormatting>
  <conditionalFormatting sqref="A137:O137">
    <cfRule type="expression" dxfId="0" priority="493">
      <formula>OR(ISBLANK($G137), $G137="")</formula>
    </cfRule>
    <cfRule type="expression" dxfId="1" priority="494">
      <formula>MAX($H137, $I137)&lt;$E137</formula>
    </cfRule>
    <cfRule type="expression" dxfId="2" priority="495">
      <formula>AND(MAX($H137, $I137)&gt;=$E137, $E137/($H137 + $I137)&lt;0.1)</formula>
    </cfRule>
    <cfRule type="expression" dxfId="3" priority="496">
      <formula>AND(MAX($H137, $I137)&gt;=$E137, $E137/($H137 + $I137)&gt;=0.1)</formula>
    </cfRule>
  </conditionalFormatting>
  <conditionalFormatting sqref="A138:O138">
    <cfRule type="expression" dxfId="0" priority="497">
      <formula>OR(ISBLANK($G138), $G138="")</formula>
    </cfRule>
    <cfRule type="expression" dxfId="1" priority="498">
      <formula>MAX($H138, $I138)&lt;$E138</formula>
    </cfRule>
    <cfRule type="expression" dxfId="2" priority="499">
      <formula>AND(MAX($H138, $I138)&gt;=$E138, $E138/($H138 + $I138)&lt;0.1)</formula>
    </cfRule>
    <cfRule type="expression" dxfId="3" priority="500">
      <formula>AND(MAX($H138, $I138)&gt;=$E138, $E138/($H138 + $I138)&gt;=0.1)</formula>
    </cfRule>
  </conditionalFormatting>
  <conditionalFormatting sqref="A139:O139">
    <cfRule type="expression" dxfId="0" priority="501">
      <formula>OR(ISBLANK($G139), $G139="")</formula>
    </cfRule>
    <cfRule type="expression" dxfId="1" priority="502">
      <formula>MAX($H139, $I139)&lt;$E139</formula>
    </cfRule>
    <cfRule type="expression" dxfId="2" priority="503">
      <formula>AND(MAX($H139, $I139)&gt;=$E139, $E139/($H139 + $I139)&lt;0.1)</formula>
    </cfRule>
    <cfRule type="expression" dxfId="3" priority="504">
      <formula>AND(MAX($H139, $I139)&gt;=$E139, $E139/($H139 + $I139)&gt;=0.1)</formula>
    </cfRule>
  </conditionalFormatting>
  <conditionalFormatting sqref="A140:O140">
    <cfRule type="expression" dxfId="0" priority="505">
      <formula>OR(ISBLANK($G140), $G140="")</formula>
    </cfRule>
    <cfRule type="expression" dxfId="1" priority="506">
      <formula>MAX($H140, $I140)&lt;$E140</formula>
    </cfRule>
    <cfRule type="expression" dxfId="2" priority="507">
      <formula>AND(MAX($H140, $I140)&gt;=$E140, $E140/($H140 + $I140)&lt;0.1)</formula>
    </cfRule>
    <cfRule type="expression" dxfId="3" priority="508">
      <formula>AND(MAX($H140, $I140)&gt;=$E140, $E140/($H140 + $I140)&gt;=0.1)</formula>
    </cfRule>
  </conditionalFormatting>
  <conditionalFormatting sqref="A148:O148">
    <cfRule type="expression" dxfId="0" priority="405">
      <formula>OR(ISBLANK($G148), $G148="")</formula>
    </cfRule>
    <cfRule type="expression" dxfId="1" priority="406">
      <formula>MAX($H148, $I148)&lt;$E148</formula>
    </cfRule>
    <cfRule type="expression" dxfId="2" priority="407">
      <formula>AND(MAX($H148, $I148)&gt;=$E148, $E148/($H148 + $I148)&lt;0.1)</formula>
    </cfRule>
    <cfRule type="expression" dxfId="3" priority="408">
      <formula>AND(MAX($H148, $I148)&gt;=$E148, $E148/($H148 + $I148)&gt;=0.1)</formula>
    </cfRule>
  </conditionalFormatting>
  <conditionalFormatting sqref="A15:O15">
    <cfRule type="expression" dxfId="0" priority="1">
      <formula>OR(ISBLANK($G15), $G15="")</formula>
    </cfRule>
    <cfRule type="expression" dxfId="1" priority="2">
      <formula>MAX($H15, $I15)&lt;$E15</formula>
    </cfRule>
    <cfRule type="expression" dxfId="2" priority="3">
      <formula>AND(MAX($H15, $I15)&gt;=$E15, $E15/($H15 + $I15)&lt;0.1)</formula>
    </cfRule>
    <cfRule type="expression" dxfId="3" priority="4">
      <formula>AND(MAX($H15, $I15)&gt;=$E15, $E15/($H15 + $I15)&gt;=0.1)</formula>
    </cfRule>
  </conditionalFormatting>
  <conditionalFormatting sqref="A16:O16">
    <cfRule type="expression" dxfId="0" priority="5">
      <formula>OR(ISBLANK($G16), $G16="")</formula>
    </cfRule>
    <cfRule type="expression" dxfId="1" priority="6">
      <formula>MAX($H16, $I16)&lt;$E16</formula>
    </cfRule>
    <cfRule type="expression" dxfId="2" priority="7">
      <formula>AND(MAX($H16, $I16)&gt;=$E16, $E16/($H16 + $I16)&lt;0.1)</formula>
    </cfRule>
    <cfRule type="expression" dxfId="3" priority="8">
      <formula>AND(MAX($H16, $I16)&gt;=$E16, $E16/($H16 + $I16)&gt;=0.1)</formula>
    </cfRule>
  </conditionalFormatting>
  <conditionalFormatting sqref="A17:O17">
    <cfRule type="expression" dxfId="0" priority="9">
      <formula>OR(ISBLANK($G17), $G17="")</formula>
    </cfRule>
    <cfRule type="expression" dxfId="1" priority="10">
      <formula>MAX($H17, $I17)&lt;$E17</formula>
    </cfRule>
    <cfRule type="expression" dxfId="2" priority="11">
      <formula>AND(MAX($H17, $I17)&gt;=$E17, $E17/($H17 + $I17)&lt;0.1)</formula>
    </cfRule>
    <cfRule type="expression" dxfId="3" priority="12">
      <formula>AND(MAX($H17, $I17)&gt;=$E17, $E17/($H17 + $I17)&gt;=0.1)</formula>
    </cfRule>
  </conditionalFormatting>
  <conditionalFormatting sqref="A18:O18">
    <cfRule type="expression" dxfId="0" priority="13">
      <formula>OR(ISBLANK($G18), $G18="")</formula>
    </cfRule>
    <cfRule type="expression" dxfId="1" priority="14">
      <formula>MAX($H18, $I18)&lt;$E18</formula>
    </cfRule>
    <cfRule type="expression" dxfId="2" priority="15">
      <formula>AND(MAX($H18, $I18)&gt;=$E18, $E18/($H18 + $I18)&lt;0.1)</formula>
    </cfRule>
    <cfRule type="expression" dxfId="3" priority="16">
      <formula>AND(MAX($H18, $I18)&gt;=$E18, $E18/($H18 + $I18)&gt;=0.1)</formula>
    </cfRule>
  </conditionalFormatting>
  <conditionalFormatting sqref="A19:O19">
    <cfRule type="expression" dxfId="0" priority="17">
      <formula>OR(ISBLANK($G19), $G19="")</formula>
    </cfRule>
    <cfRule type="expression" dxfId="1" priority="18">
      <formula>MAX($H19, $I19)&lt;$E19</formula>
    </cfRule>
    <cfRule type="expression" dxfId="2" priority="19">
      <formula>AND(MAX($H19, $I19)&gt;=$E19, $E19/($H19 + $I19)&lt;0.1)</formula>
    </cfRule>
    <cfRule type="expression" dxfId="3" priority="20">
      <formula>AND(MAX($H19, $I19)&gt;=$E19, $E19/($H19 + $I19)&gt;=0.1)</formula>
    </cfRule>
  </conditionalFormatting>
  <conditionalFormatting sqref="A20:O20">
    <cfRule type="expression" dxfId="0" priority="21">
      <formula>OR(ISBLANK($G20), $G20="")</formula>
    </cfRule>
    <cfRule type="expression" dxfId="1" priority="22">
      <formula>MAX($H20, $I20)&lt;$E20</formula>
    </cfRule>
    <cfRule type="expression" dxfId="2" priority="23">
      <formula>AND(MAX($H20, $I20)&gt;=$E20, $E20/($H20 + $I20)&lt;0.1)</formula>
    </cfRule>
    <cfRule type="expression" dxfId="3" priority="24">
      <formula>AND(MAX($H20, $I20)&gt;=$E20, $E20/($H20 + $I20)&gt;=0.1)</formula>
    </cfRule>
  </conditionalFormatting>
  <conditionalFormatting sqref="A21:O21">
    <cfRule type="expression" dxfId="0" priority="25">
      <formula>OR(ISBLANK($G21), $G21="")</formula>
    </cfRule>
    <cfRule type="expression" dxfId="1" priority="26">
      <formula>MAX($H21, $I21)&lt;$E21</formula>
    </cfRule>
    <cfRule type="expression" dxfId="2" priority="27">
      <formula>AND(MAX($H21, $I21)&gt;=$E21, $E21/($H21 + $I21)&lt;0.1)</formula>
    </cfRule>
    <cfRule type="expression" dxfId="3" priority="28">
      <formula>AND(MAX($H21, $I21)&gt;=$E21, $E21/($H21 + $I21)&gt;=0.1)</formula>
    </cfRule>
  </conditionalFormatting>
  <conditionalFormatting sqref="A22:O22">
    <cfRule type="expression" dxfId="0" priority="29">
      <formula>OR(ISBLANK($G22), $G22="")</formula>
    </cfRule>
    <cfRule type="expression" dxfId="1" priority="30">
      <formula>MAX($H22, $I22)&lt;$E22</formula>
    </cfRule>
    <cfRule type="expression" dxfId="2" priority="31">
      <formula>AND(MAX($H22, $I22)&gt;=$E22, $E22/($H22 + $I22)&lt;0.1)</formula>
    </cfRule>
    <cfRule type="expression" dxfId="3" priority="32">
      <formula>AND(MAX($H22, $I22)&gt;=$E22, $E22/($H22 + $I22)&gt;=0.1)</formula>
    </cfRule>
  </conditionalFormatting>
  <conditionalFormatting sqref="A23:O23">
    <cfRule type="expression" dxfId="0" priority="33">
      <formula>OR(ISBLANK($G23), $G23="")</formula>
    </cfRule>
    <cfRule type="expression" dxfId="1" priority="34">
      <formula>MAX($H23, $I23)&lt;$E23</formula>
    </cfRule>
    <cfRule type="expression" dxfId="2" priority="35">
      <formula>AND(MAX($H23, $I23)&gt;=$E23, $E23/($H23 + $I23)&lt;0.1)</formula>
    </cfRule>
    <cfRule type="expression" dxfId="3" priority="36">
      <formula>AND(MAX($H23, $I23)&gt;=$E23, $E23/($H23 + $I23)&gt;=0.1)</formula>
    </cfRule>
  </conditionalFormatting>
  <conditionalFormatting sqref="A24:O24">
    <cfRule type="expression" dxfId="0" priority="37">
      <formula>OR(ISBLANK($G24), $G24="")</formula>
    </cfRule>
    <cfRule type="expression" dxfId="1" priority="38">
      <formula>MAX($H24, $I24)&lt;$E24</formula>
    </cfRule>
    <cfRule type="expression" dxfId="2" priority="39">
      <formula>AND(MAX($H24, $I24)&gt;=$E24, $E24/($H24 + $I24)&lt;0.1)</formula>
    </cfRule>
    <cfRule type="expression" dxfId="3" priority="40">
      <formula>AND(MAX($H24, $I24)&gt;=$E24, $E24/($H24 + $I24)&gt;=0.1)</formula>
    </cfRule>
  </conditionalFormatting>
  <conditionalFormatting sqref="A25:O25">
    <cfRule type="expression" dxfId="0" priority="41">
      <formula>OR(ISBLANK($G25), $G25="")</formula>
    </cfRule>
    <cfRule type="expression" dxfId="1" priority="42">
      <formula>MAX($H25, $I25)&lt;$E25</formula>
    </cfRule>
    <cfRule type="expression" dxfId="2" priority="43">
      <formula>AND(MAX($H25, $I25)&gt;=$E25, $E25/($H25 + $I25)&lt;0.1)</formula>
    </cfRule>
    <cfRule type="expression" dxfId="3" priority="44">
      <formula>AND(MAX($H25, $I25)&gt;=$E25, $E25/($H25 + $I25)&gt;=0.1)</formula>
    </cfRule>
  </conditionalFormatting>
  <conditionalFormatting sqref="A26:O26">
    <cfRule type="expression" dxfId="0" priority="45">
      <formula>OR(ISBLANK($G26), $G26="")</formula>
    </cfRule>
    <cfRule type="expression" dxfId="1" priority="46">
      <formula>MAX($H26, $I26)&lt;$E26</formula>
    </cfRule>
    <cfRule type="expression" dxfId="2" priority="47">
      <formula>AND(MAX($H26, $I26)&gt;=$E26, $E26/($H26 + $I26)&lt;0.1)</formula>
    </cfRule>
    <cfRule type="expression" dxfId="3" priority="48">
      <formula>AND(MAX($H26, $I26)&gt;=$E26, $E26/($H26 + $I26)&gt;=0.1)</formula>
    </cfRule>
  </conditionalFormatting>
  <conditionalFormatting sqref="A27:O27">
    <cfRule type="expression" dxfId="0" priority="49">
      <formula>OR(ISBLANK($G27), $G27="")</formula>
    </cfRule>
    <cfRule type="expression" dxfId="1" priority="50">
      <formula>MAX($H27, $I27)&lt;$E27</formula>
    </cfRule>
    <cfRule type="expression" dxfId="2" priority="51">
      <formula>AND(MAX($H27, $I27)&gt;=$E27, $E27/($H27 + $I27)&lt;0.1)</formula>
    </cfRule>
    <cfRule type="expression" dxfId="3" priority="52">
      <formula>AND(MAX($H27, $I27)&gt;=$E27, $E27/($H27 + $I27)&gt;=0.1)</formula>
    </cfRule>
  </conditionalFormatting>
  <conditionalFormatting sqref="A28:O28">
    <cfRule type="expression" dxfId="0" priority="53">
      <formula>OR(ISBLANK($G28), $G28="")</formula>
    </cfRule>
    <cfRule type="expression" dxfId="1" priority="54">
      <formula>MAX($H28, $I28)&lt;$E28</formula>
    </cfRule>
    <cfRule type="expression" dxfId="2" priority="55">
      <formula>AND(MAX($H28, $I28)&gt;=$E28, $E28/($H28 + $I28)&lt;0.1)</formula>
    </cfRule>
    <cfRule type="expression" dxfId="3" priority="56">
      <formula>AND(MAX($H28, $I28)&gt;=$E28, $E28/($H28 + $I28)&gt;=0.1)</formula>
    </cfRule>
  </conditionalFormatting>
  <conditionalFormatting sqref="A29:O29">
    <cfRule type="expression" dxfId="0" priority="57">
      <formula>OR(ISBLANK($G29), $G29="")</formula>
    </cfRule>
    <cfRule type="expression" dxfId="1" priority="58">
      <formula>MAX($H29, $I29)&lt;$E29</formula>
    </cfRule>
    <cfRule type="expression" dxfId="2" priority="59">
      <formula>AND(MAX($H29, $I29)&gt;=$E29, $E29/($H29 + $I29)&lt;0.1)</formula>
    </cfRule>
    <cfRule type="expression" dxfId="3" priority="60">
      <formula>AND(MAX($H29, $I29)&gt;=$E29, $E29/($H29 + $I29)&gt;=0.1)</formula>
    </cfRule>
  </conditionalFormatting>
  <conditionalFormatting sqref="A30:O30">
    <cfRule type="expression" dxfId="0" priority="61">
      <formula>OR(ISBLANK($G30), $G30="")</formula>
    </cfRule>
    <cfRule type="expression" dxfId="1" priority="62">
      <formula>MAX($H30, $I30)&lt;$E30</formula>
    </cfRule>
    <cfRule type="expression" dxfId="2" priority="63">
      <formula>AND(MAX($H30, $I30)&gt;=$E30, $E30/($H30 + $I30)&lt;0.1)</formula>
    </cfRule>
    <cfRule type="expression" dxfId="3" priority="64">
      <formula>AND(MAX($H30, $I30)&gt;=$E30, $E30/($H30 + $I30)&gt;=0.1)</formula>
    </cfRule>
  </conditionalFormatting>
  <conditionalFormatting sqref="A31:O31">
    <cfRule type="expression" dxfId="0" priority="65">
      <formula>OR(ISBLANK($G31), $G31="")</formula>
    </cfRule>
    <cfRule type="expression" dxfId="1" priority="66">
      <formula>MAX($H31, $I31)&lt;$E31</formula>
    </cfRule>
    <cfRule type="expression" dxfId="2" priority="67">
      <formula>AND(MAX($H31, $I31)&gt;=$E31, $E31/($H31 + $I31)&lt;0.1)</formula>
    </cfRule>
    <cfRule type="expression" dxfId="3" priority="68">
      <formula>AND(MAX($H31, $I31)&gt;=$E31, $E31/($H31 + $I31)&gt;=0.1)</formula>
    </cfRule>
  </conditionalFormatting>
  <conditionalFormatting sqref="A32:O32">
    <cfRule type="expression" dxfId="0" priority="69">
      <formula>OR(ISBLANK($G32), $G32="")</formula>
    </cfRule>
    <cfRule type="expression" dxfId="1" priority="70">
      <formula>MAX($H32, $I32)&lt;$E32</formula>
    </cfRule>
    <cfRule type="expression" dxfId="2" priority="71">
      <formula>AND(MAX($H32, $I32)&gt;=$E32, $E32/($H32 + $I32)&lt;0.1)</formula>
    </cfRule>
    <cfRule type="expression" dxfId="3" priority="72">
      <formula>AND(MAX($H32, $I32)&gt;=$E32, $E32/($H32 + $I32)&gt;=0.1)</formula>
    </cfRule>
  </conditionalFormatting>
  <conditionalFormatting sqref="A33:O33">
    <cfRule type="expression" dxfId="0" priority="73">
      <formula>OR(ISBLANK($G33), $G33="")</formula>
    </cfRule>
    <cfRule type="expression" dxfId="1" priority="74">
      <formula>MAX($H33, $I33)&lt;$E33</formula>
    </cfRule>
    <cfRule type="expression" dxfId="2" priority="75">
      <formula>AND(MAX($H33, $I33)&gt;=$E33, $E33/($H33 + $I33)&lt;0.1)</formula>
    </cfRule>
    <cfRule type="expression" dxfId="3" priority="76">
      <formula>AND(MAX($H33, $I33)&gt;=$E33, $E33/($H33 + $I33)&gt;=0.1)</formula>
    </cfRule>
  </conditionalFormatting>
  <conditionalFormatting sqref="A34:O34">
    <cfRule type="expression" dxfId="0" priority="77">
      <formula>OR(ISBLANK($G34), $G34="")</formula>
    </cfRule>
    <cfRule type="expression" dxfId="1" priority="78">
      <formula>MAX($H34, $I34)&lt;$E34</formula>
    </cfRule>
    <cfRule type="expression" dxfId="2" priority="79">
      <formula>AND(MAX($H34, $I34)&gt;=$E34, $E34/($H34 + $I34)&lt;0.1)</formula>
    </cfRule>
    <cfRule type="expression" dxfId="3" priority="80">
      <formula>AND(MAX($H34, $I34)&gt;=$E34, $E34/($H34 + $I34)&gt;=0.1)</formula>
    </cfRule>
  </conditionalFormatting>
  <conditionalFormatting sqref="A35:O35">
    <cfRule type="expression" dxfId="0" priority="81">
      <formula>OR(ISBLANK($G35), $G35="")</formula>
    </cfRule>
    <cfRule type="expression" dxfId="1" priority="82">
      <formula>MAX($H35, $I35)&lt;$E35</formula>
    </cfRule>
    <cfRule type="expression" dxfId="2" priority="83">
      <formula>AND(MAX($H35, $I35)&gt;=$E35, $E35/($H35 + $I35)&lt;0.1)</formula>
    </cfRule>
    <cfRule type="expression" dxfId="3" priority="84">
      <formula>AND(MAX($H35, $I35)&gt;=$E35, $E35/($H35 + $I35)&gt;=0.1)</formula>
    </cfRule>
  </conditionalFormatting>
  <conditionalFormatting sqref="A36:O36">
    <cfRule type="expression" dxfId="0" priority="85">
      <formula>OR(ISBLANK($G36), $G36="")</formula>
    </cfRule>
    <cfRule type="expression" dxfId="1" priority="86">
      <formula>MAX($H36, $I36)&lt;$E36</formula>
    </cfRule>
    <cfRule type="expression" dxfId="2" priority="87">
      <formula>AND(MAX($H36, $I36)&gt;=$E36, $E36/($H36 + $I36)&lt;0.1)</formula>
    </cfRule>
    <cfRule type="expression" dxfId="3" priority="88">
      <formula>AND(MAX($H36, $I36)&gt;=$E36, $E36/($H36 + $I36)&gt;=0.1)</formula>
    </cfRule>
  </conditionalFormatting>
  <conditionalFormatting sqref="A37:O37">
    <cfRule type="expression" dxfId="0" priority="89">
      <formula>OR(ISBLANK($G37), $G37="")</formula>
    </cfRule>
    <cfRule type="expression" dxfId="1" priority="90">
      <formula>MAX($H37, $I37)&lt;$E37</formula>
    </cfRule>
    <cfRule type="expression" dxfId="2" priority="91">
      <formula>AND(MAX($H37, $I37)&gt;=$E37, $E37/($H37 + $I37)&lt;0.1)</formula>
    </cfRule>
    <cfRule type="expression" dxfId="3" priority="92">
      <formula>AND(MAX($H37, $I37)&gt;=$E37, $E37/($H37 + $I37)&gt;=0.1)</formula>
    </cfRule>
  </conditionalFormatting>
  <conditionalFormatting sqref="A38:O38">
    <cfRule type="expression" dxfId="0" priority="93">
      <formula>OR(ISBLANK($G38), $G38="")</formula>
    </cfRule>
    <cfRule type="expression" dxfId="1" priority="94">
      <formula>MAX($H38, $I38)&lt;$E38</formula>
    </cfRule>
    <cfRule type="expression" dxfId="2" priority="95">
      <formula>AND(MAX($H38, $I38)&gt;=$E38, $E38/($H38 + $I38)&lt;0.1)</formula>
    </cfRule>
    <cfRule type="expression" dxfId="3" priority="96">
      <formula>AND(MAX($H38, $I38)&gt;=$E38, $E38/($H38 + $I38)&gt;=0.1)</formula>
    </cfRule>
  </conditionalFormatting>
  <conditionalFormatting sqref="A39:O39">
    <cfRule type="expression" dxfId="0" priority="97">
      <formula>OR(ISBLANK($G39), $G39="")</formula>
    </cfRule>
    <cfRule type="expression" dxfId="1" priority="98">
      <formula>MAX($H39, $I39)&lt;$E39</formula>
    </cfRule>
    <cfRule type="expression" dxfId="2" priority="99">
      <formula>AND(MAX($H39, $I39)&gt;=$E39, $E39/($H39 + $I39)&lt;0.1)</formula>
    </cfRule>
    <cfRule type="expression" dxfId="3" priority="100">
      <formula>AND(MAX($H39, $I39)&gt;=$E39, $E39/($H39 + $I39)&gt;=0.1)</formula>
    </cfRule>
  </conditionalFormatting>
  <conditionalFormatting sqref="A40:O40">
    <cfRule type="expression" dxfId="0" priority="101">
      <formula>OR(ISBLANK($G40), $G40="")</formula>
    </cfRule>
    <cfRule type="expression" dxfId="1" priority="102">
      <formula>MAX($H40, $I40)&lt;$E40</formula>
    </cfRule>
    <cfRule type="expression" dxfId="2" priority="103">
      <formula>AND(MAX($H40, $I40)&gt;=$E40, $E40/($H40 + $I40)&lt;0.1)</formula>
    </cfRule>
    <cfRule type="expression" dxfId="3" priority="104">
      <formula>AND(MAX($H40, $I40)&gt;=$E40, $E40/($H40 + $I40)&gt;=0.1)</formula>
    </cfRule>
  </conditionalFormatting>
  <conditionalFormatting sqref="A41:O41">
    <cfRule type="expression" dxfId="0" priority="105">
      <formula>OR(ISBLANK($G41), $G41="")</formula>
    </cfRule>
    <cfRule type="expression" dxfId="1" priority="106">
      <formula>MAX($H41, $I41)&lt;$E41</formula>
    </cfRule>
    <cfRule type="expression" dxfId="2" priority="107">
      <formula>AND(MAX($H41, $I41)&gt;=$E41, $E41/($H41 + $I41)&lt;0.1)</formula>
    </cfRule>
    <cfRule type="expression" dxfId="3" priority="108">
      <formula>AND(MAX($H41, $I41)&gt;=$E41, $E41/($H41 + $I41)&gt;=0.1)</formula>
    </cfRule>
  </conditionalFormatting>
  <conditionalFormatting sqref="A42:O42">
    <cfRule type="expression" dxfId="0" priority="109">
      <formula>OR(ISBLANK($G42), $G42="")</formula>
    </cfRule>
    <cfRule type="expression" dxfId="1" priority="110">
      <formula>MAX($H42, $I42)&lt;$E42</formula>
    </cfRule>
    <cfRule type="expression" dxfId="2" priority="111">
      <formula>AND(MAX($H42, $I42)&gt;=$E42, $E42/($H42 + $I42)&lt;0.1)</formula>
    </cfRule>
    <cfRule type="expression" dxfId="3" priority="112">
      <formula>AND(MAX($H42, $I42)&gt;=$E42, $E42/($H42 + $I42)&gt;=0.1)</formula>
    </cfRule>
  </conditionalFormatting>
  <conditionalFormatting sqref="A43:O43">
    <cfRule type="expression" dxfId="0" priority="113">
      <formula>OR(ISBLANK($G43), $G43="")</formula>
    </cfRule>
    <cfRule type="expression" dxfId="1" priority="114">
      <formula>MAX($H43, $I43)&lt;$E43</formula>
    </cfRule>
    <cfRule type="expression" dxfId="2" priority="115">
      <formula>AND(MAX($H43, $I43)&gt;=$E43, $E43/($H43 + $I43)&lt;0.1)</formula>
    </cfRule>
    <cfRule type="expression" dxfId="3" priority="116">
      <formula>AND(MAX($H43, $I43)&gt;=$E43, $E43/($H43 + $I43)&gt;=0.1)</formula>
    </cfRule>
  </conditionalFormatting>
  <conditionalFormatting sqref="A44:O44">
    <cfRule type="expression" dxfId="0" priority="117">
      <formula>OR(ISBLANK($G44), $G44="")</formula>
    </cfRule>
    <cfRule type="expression" dxfId="1" priority="118">
      <formula>MAX($H44, $I44)&lt;$E44</formula>
    </cfRule>
    <cfRule type="expression" dxfId="2" priority="119">
      <formula>AND(MAX($H44, $I44)&gt;=$E44, $E44/($H44 + $I44)&lt;0.1)</formula>
    </cfRule>
    <cfRule type="expression" dxfId="3" priority="120">
      <formula>AND(MAX($H44, $I44)&gt;=$E44, $E44/($H44 + $I44)&gt;=0.1)</formula>
    </cfRule>
  </conditionalFormatting>
  <conditionalFormatting sqref="A45:O45">
    <cfRule type="expression" dxfId="0" priority="121">
      <formula>OR(ISBLANK($G45), $G45="")</formula>
    </cfRule>
    <cfRule type="expression" dxfId="1" priority="122">
      <formula>MAX($H45, $I45)&lt;$E45</formula>
    </cfRule>
    <cfRule type="expression" dxfId="2" priority="123">
      <formula>AND(MAX($H45, $I45)&gt;=$E45, $E45/($H45 + $I45)&lt;0.1)</formula>
    </cfRule>
    <cfRule type="expression" dxfId="3" priority="124">
      <formula>AND(MAX($H45, $I45)&gt;=$E45, $E45/($H45 + $I45)&gt;=0.1)</formula>
    </cfRule>
  </conditionalFormatting>
  <conditionalFormatting sqref="A46:O46">
    <cfRule type="expression" dxfId="0" priority="125">
      <formula>OR(ISBLANK($G46), $G46="")</formula>
    </cfRule>
    <cfRule type="expression" dxfId="1" priority="126">
      <formula>MAX($H46, $I46)&lt;$E46</formula>
    </cfRule>
    <cfRule type="expression" dxfId="2" priority="127">
      <formula>AND(MAX($H46, $I46)&gt;=$E46, $E46/($H46 + $I46)&lt;0.1)</formula>
    </cfRule>
    <cfRule type="expression" dxfId="3" priority="128">
      <formula>AND(MAX($H46, $I46)&gt;=$E46, $E46/($H46 + $I46)&gt;=0.1)</formula>
    </cfRule>
  </conditionalFormatting>
  <conditionalFormatting sqref="A47:O47">
    <cfRule type="expression" dxfId="0" priority="129">
      <formula>OR(ISBLANK($G47), $G47="")</formula>
    </cfRule>
    <cfRule type="expression" dxfId="1" priority="130">
      <formula>MAX($H47, $I47)&lt;$E47</formula>
    </cfRule>
    <cfRule type="expression" dxfId="2" priority="131">
      <formula>AND(MAX($H47, $I47)&gt;=$E47, $E47/($H47 + $I47)&lt;0.1)</formula>
    </cfRule>
    <cfRule type="expression" dxfId="3" priority="132">
      <formula>AND(MAX($H47, $I47)&gt;=$E47, $E47/($H47 + $I47)&gt;=0.1)</formula>
    </cfRule>
  </conditionalFormatting>
  <conditionalFormatting sqref="A48:O48">
    <cfRule type="expression" dxfId="0" priority="133">
      <formula>OR(ISBLANK($G48), $G48="")</formula>
    </cfRule>
    <cfRule type="expression" dxfId="1" priority="134">
      <formula>MAX($H48, $I48)&lt;$E48</formula>
    </cfRule>
    <cfRule type="expression" dxfId="2" priority="135">
      <formula>AND(MAX($H48, $I48)&gt;=$E48, $E48/($H48 + $I48)&lt;0.1)</formula>
    </cfRule>
    <cfRule type="expression" dxfId="3" priority="136">
      <formula>AND(MAX($H48, $I48)&gt;=$E48, $E48/($H48 + $I48)&gt;=0.1)</formula>
    </cfRule>
  </conditionalFormatting>
  <conditionalFormatting sqref="A49:O49">
    <cfRule type="expression" dxfId="0" priority="137">
      <formula>OR(ISBLANK($G49), $G49="")</formula>
    </cfRule>
    <cfRule type="expression" dxfId="1" priority="138">
      <formula>MAX($H49, $I49)&lt;$E49</formula>
    </cfRule>
    <cfRule type="expression" dxfId="2" priority="139">
      <formula>AND(MAX($H49, $I49)&gt;=$E49, $E49/($H49 + $I49)&lt;0.1)</formula>
    </cfRule>
    <cfRule type="expression" dxfId="3" priority="140">
      <formula>AND(MAX($H49, $I49)&gt;=$E49, $E49/($H49 + $I49)&gt;=0.1)</formula>
    </cfRule>
  </conditionalFormatting>
  <conditionalFormatting sqref="A50:O50">
    <cfRule type="expression" dxfId="0" priority="141">
      <formula>OR(ISBLANK($G50), $G50="")</formula>
    </cfRule>
    <cfRule type="expression" dxfId="1" priority="142">
      <formula>MAX($H50, $I50)&lt;$E50</formula>
    </cfRule>
    <cfRule type="expression" dxfId="2" priority="143">
      <formula>AND(MAX($H50, $I50)&gt;=$E50, $E50/($H50 + $I50)&lt;0.1)</formula>
    </cfRule>
    <cfRule type="expression" dxfId="3" priority="144">
      <formula>AND(MAX($H50, $I50)&gt;=$E50, $E50/($H50 + $I50)&gt;=0.1)</formula>
    </cfRule>
  </conditionalFormatting>
  <conditionalFormatting sqref="A51:O51">
    <cfRule type="expression" dxfId="0" priority="145">
      <formula>OR(ISBLANK($G51), $G51="")</formula>
    </cfRule>
    <cfRule type="expression" dxfId="1" priority="146">
      <formula>MAX($H51, $I51)&lt;$E51</formula>
    </cfRule>
    <cfRule type="expression" dxfId="2" priority="147">
      <formula>AND(MAX($H51, $I51)&gt;=$E51, $E51/($H51 + $I51)&lt;0.1)</formula>
    </cfRule>
    <cfRule type="expression" dxfId="3" priority="148">
      <formula>AND(MAX($H51, $I51)&gt;=$E51, $E51/($H51 + $I51)&gt;=0.1)</formula>
    </cfRule>
  </conditionalFormatting>
  <conditionalFormatting sqref="A52:O52">
    <cfRule type="expression" dxfId="0" priority="149">
      <formula>OR(ISBLANK($G52), $G52="")</formula>
    </cfRule>
    <cfRule type="expression" dxfId="1" priority="150">
      <formula>MAX($H52, $I52)&lt;$E52</formula>
    </cfRule>
    <cfRule type="expression" dxfId="2" priority="151">
      <formula>AND(MAX($H52, $I52)&gt;=$E52, $E52/($H52 + $I52)&lt;0.1)</formula>
    </cfRule>
    <cfRule type="expression" dxfId="3" priority="152">
      <formula>AND(MAX($H52, $I52)&gt;=$E52, $E52/($H52 + $I52)&gt;=0.1)</formula>
    </cfRule>
  </conditionalFormatting>
  <conditionalFormatting sqref="A53:O53">
    <cfRule type="expression" dxfId="0" priority="153">
      <formula>OR(ISBLANK($G53), $G53="")</formula>
    </cfRule>
    <cfRule type="expression" dxfId="1" priority="154">
      <formula>MAX($H53, $I53)&lt;$E53</formula>
    </cfRule>
    <cfRule type="expression" dxfId="2" priority="155">
      <formula>AND(MAX($H53, $I53)&gt;=$E53, $E53/($H53 + $I53)&lt;0.1)</formula>
    </cfRule>
    <cfRule type="expression" dxfId="3" priority="156">
      <formula>AND(MAX($H53, $I53)&gt;=$E53, $E53/($H53 + $I53)&gt;=0.1)</formula>
    </cfRule>
  </conditionalFormatting>
  <conditionalFormatting sqref="A54:O54">
    <cfRule type="expression" dxfId="0" priority="157">
      <formula>OR(ISBLANK($G54), $G54="")</formula>
    </cfRule>
    <cfRule type="expression" dxfId="1" priority="158">
      <formula>MAX($H54, $I54)&lt;$E54</formula>
    </cfRule>
    <cfRule type="expression" dxfId="2" priority="159">
      <formula>AND(MAX($H54, $I54)&gt;=$E54, $E54/($H54 + $I54)&lt;0.1)</formula>
    </cfRule>
    <cfRule type="expression" dxfId="3" priority="160">
      <formula>AND(MAX($H54, $I54)&gt;=$E54, $E54/($H54 + $I54)&gt;=0.1)</formula>
    </cfRule>
  </conditionalFormatting>
  <conditionalFormatting sqref="A55:O55">
    <cfRule type="expression" dxfId="0" priority="161">
      <formula>OR(ISBLANK($G55), $G55="")</formula>
    </cfRule>
    <cfRule type="expression" dxfId="1" priority="162">
      <formula>MAX($H55, $I55)&lt;$E55</formula>
    </cfRule>
    <cfRule type="expression" dxfId="2" priority="163">
      <formula>AND(MAX($H55, $I55)&gt;=$E55, $E55/($H55 + $I55)&lt;0.1)</formula>
    </cfRule>
    <cfRule type="expression" dxfId="3" priority="164">
      <formula>AND(MAX($H55, $I55)&gt;=$E55, $E55/($H55 + $I55)&gt;=0.1)</formula>
    </cfRule>
  </conditionalFormatting>
  <conditionalFormatting sqref="A56:O56">
    <cfRule type="expression" dxfId="0" priority="165">
      <formula>OR(ISBLANK($G56), $G56="")</formula>
    </cfRule>
    <cfRule type="expression" dxfId="1" priority="166">
      <formula>MAX($H56, $I56)&lt;$E56</formula>
    </cfRule>
    <cfRule type="expression" dxfId="2" priority="167">
      <formula>AND(MAX($H56, $I56)&gt;=$E56, $E56/($H56 + $I56)&lt;0.1)</formula>
    </cfRule>
    <cfRule type="expression" dxfId="3" priority="168">
      <formula>AND(MAX($H56, $I56)&gt;=$E56, $E56/($H56 + $I56)&gt;=0.1)</formula>
    </cfRule>
  </conditionalFormatting>
  <conditionalFormatting sqref="A57:O57">
    <cfRule type="expression" dxfId="0" priority="169">
      <formula>OR(ISBLANK($G57), $G57="")</formula>
    </cfRule>
    <cfRule type="expression" dxfId="1" priority="170">
      <formula>MAX($H57, $I57)&lt;$E57</formula>
    </cfRule>
    <cfRule type="expression" dxfId="2" priority="171">
      <formula>AND(MAX($H57, $I57)&gt;=$E57, $E57/($H57 + $I57)&lt;0.1)</formula>
    </cfRule>
    <cfRule type="expression" dxfId="3" priority="172">
      <formula>AND(MAX($H57, $I57)&gt;=$E57, $E57/($H57 + $I57)&gt;=0.1)</formula>
    </cfRule>
  </conditionalFormatting>
  <conditionalFormatting sqref="A58:O58">
    <cfRule type="expression" dxfId="0" priority="173">
      <formula>OR(ISBLANK($G58), $G58="")</formula>
    </cfRule>
    <cfRule type="expression" dxfId="1" priority="174">
      <formula>MAX($H58, $I58)&lt;$E58</formula>
    </cfRule>
    <cfRule type="expression" dxfId="2" priority="175">
      <formula>AND(MAX($H58, $I58)&gt;=$E58, $E58/($H58 + $I58)&lt;0.1)</formula>
    </cfRule>
    <cfRule type="expression" dxfId="3" priority="176">
      <formula>AND(MAX($H58, $I58)&gt;=$E58, $E58/($H58 + $I58)&gt;=0.1)</formula>
    </cfRule>
  </conditionalFormatting>
  <conditionalFormatting sqref="A59:O59">
    <cfRule type="expression" dxfId="0" priority="177">
      <formula>OR(ISBLANK($G59), $G59="")</formula>
    </cfRule>
    <cfRule type="expression" dxfId="1" priority="178">
      <formula>MAX($H59, $I59)&lt;$E59</formula>
    </cfRule>
    <cfRule type="expression" dxfId="2" priority="179">
      <formula>AND(MAX($H59, $I59)&gt;=$E59, $E59/($H59 + $I59)&lt;0.1)</formula>
    </cfRule>
    <cfRule type="expression" dxfId="3" priority="180">
      <formula>AND(MAX($H59, $I59)&gt;=$E59, $E59/($H59 + $I59)&gt;=0.1)</formula>
    </cfRule>
  </conditionalFormatting>
  <conditionalFormatting sqref="A60:O60">
    <cfRule type="expression" dxfId="0" priority="181">
      <formula>OR(ISBLANK($G60), $G60="")</formula>
    </cfRule>
    <cfRule type="expression" dxfId="1" priority="182">
      <formula>MAX($H60, $I60)&lt;$E60</formula>
    </cfRule>
    <cfRule type="expression" dxfId="2" priority="183">
      <formula>AND(MAX($H60, $I60)&gt;=$E60, $E60/($H60 + $I60)&lt;0.1)</formula>
    </cfRule>
    <cfRule type="expression" dxfId="3" priority="184">
      <formula>AND(MAX($H60, $I60)&gt;=$E60, $E60/($H60 + $I60)&gt;=0.1)</formula>
    </cfRule>
  </conditionalFormatting>
  <conditionalFormatting sqref="A61:O61">
    <cfRule type="expression" dxfId="0" priority="185">
      <formula>OR(ISBLANK($G61), $G61="")</formula>
    </cfRule>
    <cfRule type="expression" dxfId="1" priority="186">
      <formula>MAX($H61, $I61)&lt;$E61</formula>
    </cfRule>
    <cfRule type="expression" dxfId="2" priority="187">
      <formula>AND(MAX($H61, $I61)&gt;=$E61, $E61/($H61 + $I61)&lt;0.1)</formula>
    </cfRule>
    <cfRule type="expression" dxfId="3" priority="188">
      <formula>AND(MAX($H61, $I61)&gt;=$E61, $E61/($H61 + $I61)&gt;=0.1)</formula>
    </cfRule>
  </conditionalFormatting>
  <conditionalFormatting sqref="A62:O62">
    <cfRule type="expression" dxfId="0" priority="189">
      <formula>OR(ISBLANK($G62), $G62="")</formula>
    </cfRule>
    <cfRule type="expression" dxfId="1" priority="190">
      <formula>MAX($H62, $I62)&lt;$E62</formula>
    </cfRule>
    <cfRule type="expression" dxfId="2" priority="191">
      <formula>AND(MAX($H62, $I62)&gt;=$E62, $E62/($H62 + $I62)&lt;0.1)</formula>
    </cfRule>
    <cfRule type="expression" dxfId="3" priority="192">
      <formula>AND(MAX($H62, $I62)&gt;=$E62, $E62/($H62 + $I62)&gt;=0.1)</formula>
    </cfRule>
  </conditionalFormatting>
  <conditionalFormatting sqref="A63:O63">
    <cfRule type="expression" dxfId="0" priority="193">
      <formula>OR(ISBLANK($G63), $G63="")</formula>
    </cfRule>
    <cfRule type="expression" dxfId="1" priority="194">
      <formula>MAX($H63, $I63)&lt;$E63</formula>
    </cfRule>
    <cfRule type="expression" dxfId="2" priority="195">
      <formula>AND(MAX($H63, $I63)&gt;=$E63, $E63/($H63 + $I63)&lt;0.1)</formula>
    </cfRule>
    <cfRule type="expression" dxfId="3" priority="196">
      <formula>AND(MAX($H63, $I63)&gt;=$E63, $E63/($H63 + $I63)&gt;=0.1)</formula>
    </cfRule>
  </conditionalFormatting>
  <conditionalFormatting sqref="A64:O64">
    <cfRule type="expression" dxfId="0" priority="197">
      <formula>OR(ISBLANK($G64), $G64="")</formula>
    </cfRule>
    <cfRule type="expression" dxfId="1" priority="198">
      <formula>MAX($H64, $I64)&lt;$E64</formula>
    </cfRule>
    <cfRule type="expression" dxfId="2" priority="199">
      <formula>AND(MAX($H64, $I64)&gt;=$E64, $E64/($H64 + $I64)&lt;0.1)</formula>
    </cfRule>
    <cfRule type="expression" dxfId="3" priority="200">
      <formula>AND(MAX($H64, $I64)&gt;=$E64, $E64/($H64 + $I64)&gt;=0.1)</formula>
    </cfRule>
  </conditionalFormatting>
  <conditionalFormatting sqref="A65:O65">
    <cfRule type="expression" dxfId="0" priority="201">
      <formula>OR(ISBLANK($G65), $G65="")</formula>
    </cfRule>
    <cfRule type="expression" dxfId="1" priority="202">
      <formula>MAX($H65, $I65)&lt;$E65</formula>
    </cfRule>
    <cfRule type="expression" dxfId="2" priority="203">
      <formula>AND(MAX($H65, $I65)&gt;=$E65, $E65/($H65 + $I65)&lt;0.1)</formula>
    </cfRule>
    <cfRule type="expression" dxfId="3" priority="204">
      <formula>AND(MAX($H65, $I65)&gt;=$E65, $E65/($H65 + $I65)&gt;=0.1)</formula>
    </cfRule>
  </conditionalFormatting>
  <conditionalFormatting sqref="A66:O66">
    <cfRule type="expression" dxfId="0" priority="205">
      <formula>OR(ISBLANK($G66), $G66="")</formula>
    </cfRule>
    <cfRule type="expression" dxfId="1" priority="206">
      <formula>MAX($H66, $I66)&lt;$E66</formula>
    </cfRule>
    <cfRule type="expression" dxfId="2" priority="207">
      <formula>AND(MAX($H66, $I66)&gt;=$E66, $E66/($H66 + $I66)&lt;0.1)</formula>
    </cfRule>
    <cfRule type="expression" dxfId="3" priority="208">
      <formula>AND(MAX($H66, $I66)&gt;=$E66, $E66/($H66 + $I66)&gt;=0.1)</formula>
    </cfRule>
  </conditionalFormatting>
  <conditionalFormatting sqref="A67:O67">
    <cfRule type="expression" dxfId="0" priority="209">
      <formula>OR(ISBLANK($G67), $G67="")</formula>
    </cfRule>
    <cfRule type="expression" dxfId="1" priority="210">
      <formula>MAX($H67, $I67)&lt;$E67</formula>
    </cfRule>
    <cfRule type="expression" dxfId="2" priority="211">
      <formula>AND(MAX($H67, $I67)&gt;=$E67, $E67/($H67 + $I67)&lt;0.1)</formula>
    </cfRule>
    <cfRule type="expression" dxfId="3" priority="212">
      <formula>AND(MAX($H67, $I67)&gt;=$E67, $E67/($H67 + $I67)&gt;=0.1)</formula>
    </cfRule>
  </conditionalFormatting>
  <conditionalFormatting sqref="A68:O68">
    <cfRule type="expression" dxfId="0" priority="213">
      <formula>OR(ISBLANK($G68), $G68="")</formula>
    </cfRule>
    <cfRule type="expression" dxfId="1" priority="214">
      <formula>MAX($H68, $I68)&lt;$E68</formula>
    </cfRule>
    <cfRule type="expression" dxfId="2" priority="215">
      <formula>AND(MAX($H68, $I68)&gt;=$E68, $E68/($H68 + $I68)&lt;0.1)</formula>
    </cfRule>
    <cfRule type="expression" dxfId="3" priority="216">
      <formula>AND(MAX($H68, $I68)&gt;=$E68, $E68/($H68 + $I68)&gt;=0.1)</formula>
    </cfRule>
  </conditionalFormatting>
  <conditionalFormatting sqref="A69:O69">
    <cfRule type="expression" dxfId="0" priority="217">
      <formula>OR(ISBLANK($G69), $G69="")</formula>
    </cfRule>
    <cfRule type="expression" dxfId="1" priority="218">
      <formula>MAX($H69, $I69)&lt;$E69</formula>
    </cfRule>
    <cfRule type="expression" dxfId="2" priority="219">
      <formula>AND(MAX($H69, $I69)&gt;=$E69, $E69/($H69 + $I69)&lt;0.1)</formula>
    </cfRule>
    <cfRule type="expression" dxfId="3" priority="220">
      <formula>AND(MAX($H69, $I69)&gt;=$E69, $E69/($H69 + $I69)&gt;=0.1)</formula>
    </cfRule>
  </conditionalFormatting>
  <conditionalFormatting sqref="A70:O70">
    <cfRule type="expression" dxfId="0" priority="221">
      <formula>OR(ISBLANK($G70), $G70="")</formula>
    </cfRule>
    <cfRule type="expression" dxfId="1" priority="222">
      <formula>MAX($H70, $I70)&lt;$E70</formula>
    </cfRule>
    <cfRule type="expression" dxfId="2" priority="223">
      <formula>AND(MAX($H70, $I70)&gt;=$E70, $E70/($H70 + $I70)&lt;0.1)</formula>
    </cfRule>
    <cfRule type="expression" dxfId="3" priority="224">
      <formula>AND(MAX($H70, $I70)&gt;=$E70, $E70/($H70 + $I70)&gt;=0.1)</formula>
    </cfRule>
  </conditionalFormatting>
  <conditionalFormatting sqref="A71:O71">
    <cfRule type="expression" dxfId="0" priority="225">
      <formula>OR(ISBLANK($G71), $G71="")</formula>
    </cfRule>
    <cfRule type="expression" dxfId="1" priority="226">
      <formula>MAX($H71, $I71)&lt;$E71</formula>
    </cfRule>
    <cfRule type="expression" dxfId="2" priority="227">
      <formula>AND(MAX($H71, $I71)&gt;=$E71, $E71/($H71 + $I71)&lt;0.1)</formula>
    </cfRule>
    <cfRule type="expression" dxfId="3" priority="228">
      <formula>AND(MAX($H71, $I71)&gt;=$E71, $E71/($H71 + $I71)&gt;=0.1)</formula>
    </cfRule>
  </conditionalFormatting>
  <conditionalFormatting sqref="A72:O72">
    <cfRule type="expression" dxfId="0" priority="229">
      <formula>OR(ISBLANK($G72), $G72="")</formula>
    </cfRule>
    <cfRule type="expression" dxfId="1" priority="230">
      <formula>MAX($H72, $I72)&lt;$E72</formula>
    </cfRule>
    <cfRule type="expression" dxfId="2" priority="231">
      <formula>AND(MAX($H72, $I72)&gt;=$E72, $E72/($H72 + $I72)&lt;0.1)</formula>
    </cfRule>
    <cfRule type="expression" dxfId="3" priority="232">
      <formula>AND(MAX($H72, $I72)&gt;=$E72, $E72/($H72 + $I72)&gt;=0.1)</formula>
    </cfRule>
  </conditionalFormatting>
  <conditionalFormatting sqref="A73:O73">
    <cfRule type="expression" dxfId="0" priority="233">
      <formula>OR(ISBLANK($G73), $G73="")</formula>
    </cfRule>
    <cfRule type="expression" dxfId="1" priority="234">
      <formula>MAX($H73, $I73)&lt;$E73</formula>
    </cfRule>
    <cfRule type="expression" dxfId="2" priority="235">
      <formula>AND(MAX($H73, $I73)&gt;=$E73, $E73/($H73 + $I73)&lt;0.1)</formula>
    </cfRule>
    <cfRule type="expression" dxfId="3" priority="236">
      <formula>AND(MAX($H73, $I73)&gt;=$E73, $E73/($H73 + $I73)&gt;=0.1)</formula>
    </cfRule>
  </conditionalFormatting>
  <conditionalFormatting sqref="A74:O74">
    <cfRule type="expression" dxfId="0" priority="237">
      <formula>OR(ISBLANK($G74), $G74="")</formula>
    </cfRule>
    <cfRule type="expression" dxfId="1" priority="238">
      <formula>MAX($H74, $I74)&lt;$E74</formula>
    </cfRule>
    <cfRule type="expression" dxfId="2" priority="239">
      <formula>AND(MAX($H74, $I74)&gt;=$E74, $E74/($H74 + $I74)&lt;0.1)</formula>
    </cfRule>
    <cfRule type="expression" dxfId="3" priority="240">
      <formula>AND(MAX($H74, $I74)&gt;=$E74, $E74/($H74 + $I74)&gt;=0.1)</formula>
    </cfRule>
  </conditionalFormatting>
  <conditionalFormatting sqref="A75:O75">
    <cfRule type="expression" dxfId="0" priority="241">
      <formula>OR(ISBLANK($G75), $G75="")</formula>
    </cfRule>
    <cfRule type="expression" dxfId="1" priority="242">
      <formula>MAX($H75, $I75)&lt;$E75</formula>
    </cfRule>
    <cfRule type="expression" dxfId="2" priority="243">
      <formula>AND(MAX($H75, $I75)&gt;=$E75, $E75/($H75 + $I75)&lt;0.1)</formula>
    </cfRule>
    <cfRule type="expression" dxfId="3" priority="244">
      <formula>AND(MAX($H75, $I75)&gt;=$E75, $E75/($H75 + $I75)&gt;=0.1)</formula>
    </cfRule>
  </conditionalFormatting>
  <conditionalFormatting sqref="A76:O76">
    <cfRule type="expression" dxfId="0" priority="245">
      <formula>OR(ISBLANK($G76), $G76="")</formula>
    </cfRule>
    <cfRule type="expression" dxfId="1" priority="246">
      <formula>MAX($H76, $I76)&lt;$E76</formula>
    </cfRule>
    <cfRule type="expression" dxfId="2" priority="247">
      <formula>AND(MAX($H76, $I76)&gt;=$E76, $E76/($H76 + $I76)&lt;0.1)</formula>
    </cfRule>
    <cfRule type="expression" dxfId="3" priority="248">
      <formula>AND(MAX($H76, $I76)&gt;=$E76, $E76/($H76 + $I76)&gt;=0.1)</formula>
    </cfRule>
  </conditionalFormatting>
  <conditionalFormatting sqref="A77:O77">
    <cfRule type="expression" dxfId="0" priority="249">
      <formula>OR(ISBLANK($G77), $G77="")</formula>
    </cfRule>
    <cfRule type="expression" dxfId="1" priority="250">
      <formula>MAX($H77, $I77)&lt;$E77</formula>
    </cfRule>
    <cfRule type="expression" dxfId="2" priority="251">
      <formula>AND(MAX($H77, $I77)&gt;=$E77, $E77/($H77 + $I77)&lt;0.1)</formula>
    </cfRule>
    <cfRule type="expression" dxfId="3" priority="252">
      <formula>AND(MAX($H77, $I77)&gt;=$E77, $E77/($H77 + $I77)&gt;=0.1)</formula>
    </cfRule>
  </conditionalFormatting>
  <conditionalFormatting sqref="A78:O78">
    <cfRule type="expression" dxfId="0" priority="253">
      <formula>OR(ISBLANK($G78), $G78="")</formula>
    </cfRule>
    <cfRule type="expression" dxfId="1" priority="254">
      <formula>MAX($H78, $I78)&lt;$E78</formula>
    </cfRule>
    <cfRule type="expression" dxfId="2" priority="255">
      <formula>AND(MAX($H78, $I78)&gt;=$E78, $E78/($H78 + $I78)&lt;0.1)</formula>
    </cfRule>
    <cfRule type="expression" dxfId="3" priority="256">
      <formula>AND(MAX($H78, $I78)&gt;=$E78, $E78/($H78 + $I78)&gt;=0.1)</formula>
    </cfRule>
  </conditionalFormatting>
  <conditionalFormatting sqref="A79:O79">
    <cfRule type="expression" dxfId="0" priority="257">
      <formula>OR(ISBLANK($G79), $G79="")</formula>
    </cfRule>
    <cfRule type="expression" dxfId="1" priority="258">
      <formula>MAX($H79, $I79)&lt;$E79</formula>
    </cfRule>
    <cfRule type="expression" dxfId="2" priority="259">
      <formula>AND(MAX($H79, $I79)&gt;=$E79, $E79/($H79 + $I79)&lt;0.1)</formula>
    </cfRule>
    <cfRule type="expression" dxfId="3" priority="260">
      <formula>AND(MAX($H79, $I79)&gt;=$E79, $E79/($H79 + $I79)&gt;=0.1)</formula>
    </cfRule>
  </conditionalFormatting>
  <conditionalFormatting sqref="A80:O80">
    <cfRule type="expression" dxfId="0" priority="261">
      <formula>OR(ISBLANK($G80), $G80="")</formula>
    </cfRule>
    <cfRule type="expression" dxfId="1" priority="262">
      <formula>MAX($H80, $I80)&lt;$E80</formula>
    </cfRule>
    <cfRule type="expression" dxfId="2" priority="263">
      <formula>AND(MAX($H80, $I80)&gt;=$E80, $E80/($H80 + $I80)&lt;0.1)</formula>
    </cfRule>
    <cfRule type="expression" dxfId="3" priority="264">
      <formula>AND(MAX($H80, $I80)&gt;=$E80, $E80/($H80 + $I80)&gt;=0.1)</formula>
    </cfRule>
  </conditionalFormatting>
  <conditionalFormatting sqref="A81:O81">
    <cfRule type="expression" dxfId="0" priority="265">
      <formula>OR(ISBLANK($G81), $G81="")</formula>
    </cfRule>
    <cfRule type="expression" dxfId="1" priority="266">
      <formula>MAX($H81, $I81)&lt;$E81</formula>
    </cfRule>
    <cfRule type="expression" dxfId="2" priority="267">
      <formula>AND(MAX($H81, $I81)&gt;=$E81, $E81/($H81 + $I81)&lt;0.1)</formula>
    </cfRule>
    <cfRule type="expression" dxfId="3" priority="268">
      <formula>AND(MAX($H81, $I81)&gt;=$E81, $E81/($H81 + $I81)&gt;=0.1)</formula>
    </cfRule>
  </conditionalFormatting>
  <conditionalFormatting sqref="A82:O82">
    <cfRule type="expression" dxfId="0" priority="269">
      <formula>OR(ISBLANK($G82), $G82="")</formula>
    </cfRule>
    <cfRule type="expression" dxfId="1" priority="270">
      <formula>MAX($H82, $I82)&lt;$E82</formula>
    </cfRule>
    <cfRule type="expression" dxfId="2" priority="271">
      <formula>AND(MAX($H82, $I82)&gt;=$E82, $E82/($H82 + $I82)&lt;0.1)</formula>
    </cfRule>
    <cfRule type="expression" dxfId="3" priority="272">
      <formula>AND(MAX($H82, $I82)&gt;=$E82, $E82/($H82 + $I82)&gt;=0.1)</formula>
    </cfRule>
  </conditionalFormatting>
  <conditionalFormatting sqref="A83:O83">
    <cfRule type="expression" dxfId="0" priority="273">
      <formula>OR(ISBLANK($G83), $G83="")</formula>
    </cfRule>
    <cfRule type="expression" dxfId="1" priority="274">
      <formula>MAX($H83, $I83)&lt;$E83</formula>
    </cfRule>
    <cfRule type="expression" dxfId="2" priority="275">
      <formula>AND(MAX($H83, $I83)&gt;=$E83, $E83/($H83 + $I83)&lt;0.1)</formula>
    </cfRule>
    <cfRule type="expression" dxfId="3" priority="276">
      <formula>AND(MAX($H83, $I83)&gt;=$E83, $E83/($H83 + $I83)&gt;=0.1)</formula>
    </cfRule>
  </conditionalFormatting>
  <conditionalFormatting sqref="A84:O84">
    <cfRule type="expression" dxfId="0" priority="277">
      <formula>OR(ISBLANK($G84), $G84="")</formula>
    </cfRule>
    <cfRule type="expression" dxfId="1" priority="278">
      <formula>MAX($H84, $I84)&lt;$E84</formula>
    </cfRule>
    <cfRule type="expression" dxfId="2" priority="279">
      <formula>AND(MAX($H84, $I84)&gt;=$E84, $E84/($H84 + $I84)&lt;0.1)</formula>
    </cfRule>
    <cfRule type="expression" dxfId="3" priority="280">
      <formula>AND(MAX($H84, $I84)&gt;=$E84, $E84/($H84 + $I84)&gt;=0.1)</formula>
    </cfRule>
  </conditionalFormatting>
  <conditionalFormatting sqref="A85:O85">
    <cfRule type="expression" dxfId="0" priority="281">
      <formula>OR(ISBLANK($G85), $G85="")</formula>
    </cfRule>
    <cfRule type="expression" dxfId="1" priority="282">
      <formula>MAX($H85, $I85)&lt;$E85</formula>
    </cfRule>
    <cfRule type="expression" dxfId="2" priority="283">
      <formula>AND(MAX($H85, $I85)&gt;=$E85, $E85/($H85 + $I85)&lt;0.1)</formula>
    </cfRule>
    <cfRule type="expression" dxfId="3" priority="284">
      <formula>AND(MAX($H85, $I85)&gt;=$E85, $E85/($H85 + $I85)&gt;=0.1)</formula>
    </cfRule>
  </conditionalFormatting>
  <conditionalFormatting sqref="A86:O86">
    <cfRule type="expression" dxfId="0" priority="285">
      <formula>OR(ISBLANK($G86), $G86="")</formula>
    </cfRule>
    <cfRule type="expression" dxfId="1" priority="286">
      <formula>MAX($H86, $I86)&lt;$E86</formula>
    </cfRule>
    <cfRule type="expression" dxfId="2" priority="287">
      <formula>AND(MAX($H86, $I86)&gt;=$E86, $E86/($H86 + $I86)&lt;0.1)</formula>
    </cfRule>
    <cfRule type="expression" dxfId="3" priority="288">
      <formula>AND(MAX($H86, $I86)&gt;=$E86, $E86/($H86 + $I86)&gt;=0.1)</formula>
    </cfRule>
  </conditionalFormatting>
  <conditionalFormatting sqref="A87:O87">
    <cfRule type="expression" dxfId="0" priority="289">
      <formula>OR(ISBLANK($G87), $G87="")</formula>
    </cfRule>
    <cfRule type="expression" dxfId="1" priority="290">
      <formula>MAX($H87, $I87)&lt;$E87</formula>
    </cfRule>
    <cfRule type="expression" dxfId="2" priority="291">
      <formula>AND(MAX($H87, $I87)&gt;=$E87, $E87/($H87 + $I87)&lt;0.1)</formula>
    </cfRule>
    <cfRule type="expression" dxfId="3" priority="292">
      <formula>AND(MAX($H87, $I87)&gt;=$E87, $E87/($H87 + $I87)&gt;=0.1)</formula>
    </cfRule>
  </conditionalFormatting>
  <conditionalFormatting sqref="A88:O88">
    <cfRule type="expression" dxfId="0" priority="293">
      <formula>OR(ISBLANK($G88), $G88="")</formula>
    </cfRule>
    <cfRule type="expression" dxfId="1" priority="294">
      <formula>MAX($H88, $I88)&lt;$E88</formula>
    </cfRule>
    <cfRule type="expression" dxfId="2" priority="295">
      <formula>AND(MAX($H88, $I88)&gt;=$E88, $E88/($H88 + $I88)&lt;0.1)</formula>
    </cfRule>
    <cfRule type="expression" dxfId="3" priority="296">
      <formula>AND(MAX($H88, $I88)&gt;=$E88, $E88/($H88 + $I88)&gt;=0.1)</formula>
    </cfRule>
  </conditionalFormatting>
  <conditionalFormatting sqref="A89:O89">
    <cfRule type="expression" dxfId="0" priority="297">
      <formula>OR(ISBLANK($G89), $G89="")</formula>
    </cfRule>
    <cfRule type="expression" dxfId="1" priority="298">
      <formula>MAX($H89, $I89)&lt;$E89</formula>
    </cfRule>
    <cfRule type="expression" dxfId="2" priority="299">
      <formula>AND(MAX($H89, $I89)&gt;=$E89, $E89/($H89 + $I89)&lt;0.1)</formula>
    </cfRule>
    <cfRule type="expression" dxfId="3" priority="300">
      <formula>AND(MAX($H89, $I89)&gt;=$E89, $E89/($H89 + $I89)&gt;=0.1)</formula>
    </cfRule>
  </conditionalFormatting>
  <conditionalFormatting sqref="A90:O90">
    <cfRule type="expression" dxfId="0" priority="301">
      <formula>OR(ISBLANK($G90), $G90="")</formula>
    </cfRule>
    <cfRule type="expression" dxfId="1" priority="302">
      <formula>MAX($H90, $I90)&lt;$E90</formula>
    </cfRule>
    <cfRule type="expression" dxfId="2" priority="303">
      <formula>AND(MAX($H90, $I90)&gt;=$E90, $E90/($H90 + $I90)&lt;0.1)</formula>
    </cfRule>
    <cfRule type="expression" dxfId="3" priority="304">
      <formula>AND(MAX($H90, $I90)&gt;=$E90, $E90/($H90 + $I90)&gt;=0.1)</formula>
    </cfRule>
  </conditionalFormatting>
  <conditionalFormatting sqref="A91:O91">
    <cfRule type="expression" dxfId="0" priority="305">
      <formula>OR(ISBLANK($G91), $G91="")</formula>
    </cfRule>
    <cfRule type="expression" dxfId="1" priority="306">
      <formula>MAX($H91, $I91)&lt;$E91</formula>
    </cfRule>
    <cfRule type="expression" dxfId="2" priority="307">
      <formula>AND(MAX($H91, $I91)&gt;=$E91, $E91/($H91 + $I91)&lt;0.1)</formula>
    </cfRule>
    <cfRule type="expression" dxfId="3" priority="308">
      <formula>AND(MAX($H91, $I91)&gt;=$E91, $E91/($H91 + $I91)&gt;=0.1)</formula>
    </cfRule>
  </conditionalFormatting>
  <conditionalFormatting sqref="A92:O92">
    <cfRule type="expression" dxfId="0" priority="309">
      <formula>OR(ISBLANK($G92), $G92="")</formula>
    </cfRule>
    <cfRule type="expression" dxfId="1" priority="310">
      <formula>MAX($H92, $I92)&lt;$E92</formula>
    </cfRule>
    <cfRule type="expression" dxfId="2" priority="311">
      <formula>AND(MAX($H92, $I92)&gt;=$E92, $E92/($H92 + $I92)&lt;0.1)</formula>
    </cfRule>
    <cfRule type="expression" dxfId="3" priority="312">
      <formula>AND(MAX($H92, $I92)&gt;=$E92, $E92/($H92 + $I92)&gt;=0.1)</formula>
    </cfRule>
  </conditionalFormatting>
  <conditionalFormatting sqref="A93:O93">
    <cfRule type="expression" dxfId="0" priority="313">
      <formula>OR(ISBLANK($G93), $G93="")</formula>
    </cfRule>
    <cfRule type="expression" dxfId="1" priority="314">
      <formula>MAX($H93, $I93)&lt;$E93</formula>
    </cfRule>
    <cfRule type="expression" dxfId="2" priority="315">
      <formula>AND(MAX($H93, $I93)&gt;=$E93, $E93/($H93 + $I93)&lt;0.1)</formula>
    </cfRule>
    <cfRule type="expression" dxfId="3" priority="316">
      <formula>AND(MAX($H93, $I93)&gt;=$E93, $E93/($H93 + $I93)&gt;=0.1)</formula>
    </cfRule>
  </conditionalFormatting>
  <conditionalFormatting sqref="A94:O94">
    <cfRule type="expression" dxfId="0" priority="317">
      <formula>OR(ISBLANK($G94), $G94="")</formula>
    </cfRule>
    <cfRule type="expression" dxfId="1" priority="318">
      <formula>MAX($H94, $I94)&lt;$E94</formula>
    </cfRule>
    <cfRule type="expression" dxfId="2" priority="319">
      <formula>AND(MAX($H94, $I94)&gt;=$E94, $E94/($H94 + $I94)&lt;0.1)</formula>
    </cfRule>
    <cfRule type="expression" dxfId="3" priority="320">
      <formula>AND(MAX($H94, $I94)&gt;=$E94, $E94/($H94 + $I94)&gt;=0.1)</formula>
    </cfRule>
  </conditionalFormatting>
  <conditionalFormatting sqref="A95:O95">
    <cfRule type="expression" dxfId="0" priority="321">
      <formula>OR(ISBLANK($G95), $G95="")</formula>
    </cfRule>
    <cfRule type="expression" dxfId="1" priority="322">
      <formula>MAX($H95, $I95)&lt;$E95</formula>
    </cfRule>
    <cfRule type="expression" dxfId="2" priority="323">
      <formula>AND(MAX($H95, $I95)&gt;=$E95, $E95/($H95 + $I95)&lt;0.1)</formula>
    </cfRule>
    <cfRule type="expression" dxfId="3" priority="324">
      <formula>AND(MAX($H95, $I95)&gt;=$E95, $E95/($H95 + $I95)&gt;=0.1)</formula>
    </cfRule>
  </conditionalFormatting>
  <conditionalFormatting sqref="A96:O96">
    <cfRule type="expression" dxfId="0" priority="325">
      <formula>OR(ISBLANK($G96), $G96="")</formula>
    </cfRule>
    <cfRule type="expression" dxfId="1" priority="326">
      <formula>MAX($H96, $I96)&lt;$E96</formula>
    </cfRule>
    <cfRule type="expression" dxfId="2" priority="327">
      <formula>AND(MAX($H96, $I96)&gt;=$E96, $E96/($H96 + $I96)&lt;0.1)</formula>
    </cfRule>
    <cfRule type="expression" dxfId="3" priority="328">
      <formula>AND(MAX($H96, $I96)&gt;=$E96, $E96/($H96 + $I96)&gt;=0.1)</formula>
    </cfRule>
  </conditionalFormatting>
  <conditionalFormatting sqref="A97:O97">
    <cfRule type="expression" dxfId="0" priority="329">
      <formula>OR(ISBLANK($G97), $G97="")</formula>
    </cfRule>
    <cfRule type="expression" dxfId="1" priority="330">
      <formula>MAX($H97, $I97)&lt;$E97</formula>
    </cfRule>
    <cfRule type="expression" dxfId="2" priority="331">
      <formula>AND(MAX($H97, $I97)&gt;=$E97, $E97/($H97 + $I97)&lt;0.1)</formula>
    </cfRule>
    <cfRule type="expression" dxfId="3" priority="332">
      <formula>AND(MAX($H97, $I97)&gt;=$E97, $E97/($H97 + $I97)&gt;=0.1)</formula>
    </cfRule>
  </conditionalFormatting>
  <conditionalFormatting sqref="A98:O98">
    <cfRule type="expression" dxfId="0" priority="333">
      <formula>OR(ISBLANK($G98), $G98="")</formula>
    </cfRule>
    <cfRule type="expression" dxfId="1" priority="334">
      <formula>MAX($H98, $I98)&lt;$E98</formula>
    </cfRule>
    <cfRule type="expression" dxfId="2" priority="335">
      <formula>AND(MAX($H98, $I98)&gt;=$E98, $E98/($H98 + $I98)&lt;0.1)</formula>
    </cfRule>
    <cfRule type="expression" dxfId="3" priority="336">
      <formula>AND(MAX($H98, $I98)&gt;=$E98, $E98/($H98 + $I98)&gt;=0.1)</formula>
    </cfRule>
  </conditionalFormatting>
  <conditionalFormatting sqref="A99:O99">
    <cfRule type="expression" dxfId="0" priority="337">
      <formula>OR(ISBLANK($G99), $G99="")</formula>
    </cfRule>
    <cfRule type="expression" dxfId="1" priority="338">
      <formula>MAX($H99, $I99)&lt;$E99</formula>
    </cfRule>
    <cfRule type="expression" dxfId="2" priority="339">
      <formula>AND(MAX($H99, $I99)&gt;=$E99, $E99/($H99 + $I99)&lt;0.1)</formula>
    </cfRule>
    <cfRule type="expression" dxfId="3" priority="340">
      <formula>AND(MAX($H99, $I99)&gt;=$E99, $E99/($H99 + $I99)&gt;=0.1)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2025-12-08T18:57:28Z</dcterms:created>
  <dcterms:modified xsi:type="dcterms:W3CDTF">2025-12-08T18:57:28Z</dcterms:modified>
</cp:coreProperties>
</file>