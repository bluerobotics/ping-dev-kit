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athe\OneDrive - UBC\Documents\Blue Robotics\GitHub\ping-dev-kit\"/>
    </mc:Choice>
  </mc:AlternateContent>
  <xr:revisionPtr revIDLastSave="0" documentId="13_ncr:1_{B281D7F6-D308-4B3F-BC75-54D88D194105}" xr6:coauthVersionLast="47" xr6:coauthVersionMax="47" xr10:uidLastSave="{00000000-0000-0000-0000-000000000000}"/>
  <bookViews>
    <workbookView xWindow="11424" yWindow="0" windowWidth="11712" windowHeight="13776" tabRatio="500" xr2:uid="{00000000-000D-0000-FFFF-FFFF00000000}"/>
  </bookViews>
  <sheets>
    <sheet name="Alternate Functions" sheetId="1" r:id="rId1"/>
    <sheet name="Pinouts" sheetId="2" r:id="rId2"/>
    <sheet name="Sheet3" sheetId="3" r:id="rId3"/>
  </sheets>
  <definedNames>
    <definedName name="_xlnm._FilterDatabase" localSheetId="0" hidden="1">'Alternate Functions'!$A$1:$W$143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6" i="1" l="1"/>
  <c r="A126" i="1"/>
  <c r="A125" i="1"/>
  <c r="A122" i="1"/>
  <c r="A101" i="1"/>
  <c r="A100" i="1"/>
  <c r="A77" i="1"/>
  <c r="A58" i="1"/>
  <c r="A56" i="1"/>
  <c r="A49" i="1"/>
  <c r="A18" i="1"/>
  <c r="A11" i="1"/>
  <c r="M173" i="3" l="1"/>
  <c r="E173" i="3"/>
  <c r="C173" i="3"/>
  <c r="M172" i="3"/>
  <c r="E172" i="3"/>
  <c r="C172" i="3"/>
  <c r="M171" i="3"/>
  <c r="C171" i="3"/>
  <c r="M170" i="3"/>
  <c r="C170" i="3"/>
  <c r="M169" i="3"/>
  <c r="E169" i="3"/>
  <c r="C169" i="3"/>
  <c r="M168" i="3"/>
  <c r="C168" i="3"/>
  <c r="E168" i="3" s="1"/>
  <c r="M167" i="3"/>
  <c r="C167" i="3"/>
  <c r="M166" i="3"/>
  <c r="C166" i="3"/>
  <c r="E166" i="3" s="1"/>
  <c r="M165" i="3"/>
  <c r="C165" i="3"/>
  <c r="E165" i="3" s="1"/>
  <c r="M164" i="3"/>
  <c r="E164" i="3"/>
  <c r="C164" i="3"/>
  <c r="M163" i="3"/>
  <c r="C163" i="3"/>
  <c r="E163" i="3" s="1"/>
  <c r="M162" i="3"/>
  <c r="C162" i="3"/>
  <c r="E162" i="3" s="1"/>
  <c r="M161" i="3"/>
  <c r="C161" i="3"/>
  <c r="E161" i="3" s="1"/>
  <c r="M160" i="3"/>
  <c r="C160" i="3"/>
  <c r="E160" i="3" s="1"/>
  <c r="M159" i="3"/>
  <c r="C159" i="3"/>
  <c r="M158" i="3"/>
  <c r="C158" i="3"/>
  <c r="E158" i="3" s="1"/>
  <c r="M157" i="3"/>
  <c r="C157" i="3"/>
  <c r="E157" i="3" s="1"/>
  <c r="M156" i="3"/>
  <c r="C156" i="3"/>
  <c r="E156" i="3" s="1"/>
  <c r="M155" i="3"/>
  <c r="E155" i="3"/>
  <c r="C155" i="3"/>
  <c r="M154" i="3"/>
  <c r="C154" i="3"/>
  <c r="M153" i="3"/>
  <c r="C153" i="3"/>
  <c r="E153" i="3" s="1"/>
  <c r="M152" i="3"/>
  <c r="E152" i="3"/>
  <c r="C152" i="3"/>
  <c r="M151" i="3"/>
  <c r="C151" i="3"/>
  <c r="M150" i="3"/>
  <c r="C150" i="3"/>
  <c r="E150" i="3" s="1"/>
  <c r="M149" i="3"/>
  <c r="C149" i="3"/>
  <c r="M148" i="3"/>
  <c r="E148" i="3"/>
  <c r="C148" i="3"/>
  <c r="M147" i="3"/>
  <c r="C147" i="3"/>
  <c r="M146" i="3"/>
  <c r="E146" i="3"/>
  <c r="C146" i="3"/>
  <c r="M145" i="3"/>
  <c r="C145" i="3"/>
  <c r="E145" i="3" s="1"/>
  <c r="M144" i="3"/>
  <c r="E144" i="3"/>
  <c r="C144" i="3"/>
  <c r="M143" i="3"/>
  <c r="C143" i="3"/>
  <c r="E143" i="3" s="1"/>
  <c r="M142" i="3"/>
  <c r="E142" i="3"/>
  <c r="C142" i="3"/>
  <c r="M141" i="3"/>
  <c r="C141" i="3"/>
  <c r="E141" i="3" s="1"/>
  <c r="M140" i="3"/>
  <c r="C140" i="3"/>
  <c r="E140" i="3" s="1"/>
  <c r="M139" i="3"/>
  <c r="E139" i="3"/>
  <c r="C139" i="3"/>
  <c r="M138" i="3"/>
  <c r="E138" i="3"/>
  <c r="C138" i="3"/>
  <c r="M137" i="3"/>
  <c r="E137" i="3"/>
  <c r="C137" i="3"/>
  <c r="M136" i="3"/>
  <c r="E136" i="3"/>
  <c r="C136" i="3"/>
  <c r="M135" i="3"/>
  <c r="E135" i="3"/>
  <c r="C135" i="3"/>
  <c r="M134" i="3"/>
  <c r="C134" i="3"/>
  <c r="E134" i="3" s="1"/>
  <c r="M133" i="3"/>
  <c r="C133" i="3"/>
  <c r="E133" i="3" s="1"/>
  <c r="M132" i="3"/>
  <c r="E132" i="3"/>
  <c r="C132" i="3"/>
  <c r="M131" i="3"/>
  <c r="C131" i="3"/>
  <c r="E131" i="3" s="1"/>
  <c r="M130" i="3"/>
  <c r="E130" i="3"/>
  <c r="C130" i="3"/>
  <c r="M129" i="3"/>
  <c r="C129" i="3"/>
  <c r="E129" i="3" s="1"/>
  <c r="M128" i="3"/>
  <c r="E128" i="3"/>
  <c r="C128" i="3"/>
  <c r="M127" i="3"/>
  <c r="C127" i="3"/>
  <c r="E127" i="3" s="1"/>
  <c r="M126" i="3"/>
  <c r="E126" i="3"/>
  <c r="C126" i="3"/>
  <c r="M125" i="3"/>
  <c r="C125" i="3"/>
  <c r="E125" i="3" s="1"/>
  <c r="M124" i="3"/>
  <c r="E124" i="3"/>
  <c r="C124" i="3"/>
  <c r="M123" i="3"/>
  <c r="E123" i="3"/>
  <c r="C123" i="3"/>
  <c r="M122" i="3"/>
  <c r="C122" i="3"/>
  <c r="E122" i="3" s="1"/>
  <c r="M121" i="3"/>
  <c r="E121" i="3"/>
  <c r="C121" i="3"/>
  <c r="M120" i="3"/>
  <c r="E120" i="3"/>
  <c r="C120" i="3"/>
  <c r="M119" i="3"/>
  <c r="E119" i="3"/>
  <c r="C119" i="3"/>
  <c r="M118" i="3"/>
  <c r="C118" i="3"/>
  <c r="E118" i="3" s="1"/>
  <c r="M117" i="3"/>
  <c r="E117" i="3"/>
  <c r="C117" i="3"/>
  <c r="M116" i="3"/>
  <c r="E116" i="3"/>
  <c r="C116" i="3"/>
  <c r="M115" i="3"/>
  <c r="C115" i="3"/>
  <c r="E115" i="3" s="1"/>
  <c r="M114" i="3"/>
  <c r="E114" i="3"/>
  <c r="C114" i="3"/>
  <c r="M113" i="3"/>
  <c r="C113" i="3"/>
  <c r="E113" i="3" s="1"/>
  <c r="M112" i="3"/>
  <c r="C112" i="3"/>
  <c r="E112" i="3" s="1"/>
  <c r="M111" i="3"/>
  <c r="C111" i="3"/>
  <c r="E111" i="3" s="1"/>
  <c r="M110" i="3"/>
  <c r="E110" i="3"/>
  <c r="C110" i="3"/>
  <c r="M109" i="3"/>
  <c r="C109" i="3"/>
  <c r="E109" i="3" s="1"/>
  <c r="M108" i="3"/>
  <c r="C108" i="3"/>
  <c r="M107" i="3"/>
  <c r="C107" i="3"/>
  <c r="M106" i="3"/>
  <c r="C106" i="3"/>
  <c r="E106" i="3" s="1"/>
  <c r="M105" i="3"/>
  <c r="E105" i="3"/>
  <c r="C105" i="3"/>
  <c r="M104" i="3"/>
  <c r="E104" i="3"/>
  <c r="C104" i="3"/>
  <c r="M103" i="3"/>
  <c r="E103" i="3"/>
  <c r="C103" i="3"/>
  <c r="M102" i="3"/>
  <c r="C102" i="3"/>
  <c r="E102" i="3" s="1"/>
  <c r="M101" i="3"/>
  <c r="E101" i="3"/>
  <c r="C101" i="3"/>
  <c r="M100" i="3"/>
  <c r="E100" i="3"/>
  <c r="C100" i="3"/>
  <c r="M99" i="3"/>
  <c r="C99" i="3"/>
  <c r="E99" i="3" s="1"/>
  <c r="M98" i="3"/>
  <c r="E98" i="3"/>
  <c r="C98" i="3"/>
  <c r="M97" i="3"/>
  <c r="C97" i="3"/>
  <c r="E97" i="3" s="1"/>
  <c r="M96" i="3"/>
  <c r="C96" i="3"/>
  <c r="E96" i="3" s="1"/>
  <c r="M95" i="3"/>
  <c r="C95" i="3"/>
  <c r="E95" i="3" s="1"/>
  <c r="M94" i="3"/>
  <c r="E94" i="3"/>
  <c r="C94" i="3"/>
  <c r="M93" i="3"/>
  <c r="C93" i="3"/>
  <c r="E93" i="3" s="1"/>
  <c r="M92" i="3"/>
  <c r="C92" i="3"/>
  <c r="E92" i="3" s="1"/>
  <c r="M91" i="3"/>
  <c r="E91" i="3"/>
  <c r="C91" i="3"/>
  <c r="M90" i="3"/>
  <c r="C90" i="3"/>
  <c r="E90" i="3" s="1"/>
  <c r="M89" i="3"/>
  <c r="C89" i="3"/>
  <c r="E89" i="3" s="1"/>
  <c r="M88" i="3"/>
  <c r="E88" i="3"/>
  <c r="C88" i="3"/>
  <c r="M87" i="3"/>
  <c r="E87" i="3"/>
  <c r="C87" i="3"/>
  <c r="M86" i="3"/>
  <c r="C86" i="3"/>
  <c r="E86" i="3" s="1"/>
  <c r="M85" i="3"/>
  <c r="E85" i="3"/>
  <c r="C85" i="3"/>
  <c r="M84" i="3"/>
  <c r="E84" i="3"/>
  <c r="C84" i="3"/>
  <c r="M83" i="3"/>
  <c r="C83" i="3"/>
  <c r="M82" i="3"/>
  <c r="E82" i="3"/>
  <c r="C82" i="3"/>
  <c r="M81" i="3"/>
  <c r="C81" i="3"/>
  <c r="E81" i="3" s="1"/>
  <c r="M80" i="3"/>
  <c r="C80" i="3"/>
  <c r="E80" i="3" s="1"/>
  <c r="M79" i="3"/>
  <c r="C79" i="3"/>
  <c r="E79" i="3" s="1"/>
  <c r="M78" i="3"/>
  <c r="E78" i="3"/>
  <c r="C78" i="3"/>
  <c r="M77" i="3"/>
  <c r="C77" i="3"/>
  <c r="E77" i="3" s="1"/>
  <c r="M76" i="3"/>
  <c r="C76" i="3"/>
  <c r="E76" i="3" s="1"/>
  <c r="M75" i="3"/>
  <c r="E75" i="3"/>
  <c r="C75" i="3"/>
  <c r="M74" i="3"/>
  <c r="C74" i="3"/>
  <c r="E74" i="3" s="1"/>
  <c r="M73" i="3"/>
  <c r="C73" i="3"/>
  <c r="E73" i="3" s="1"/>
  <c r="M72" i="3"/>
  <c r="E72" i="3"/>
  <c r="C72" i="3"/>
  <c r="M71" i="3"/>
  <c r="E71" i="3"/>
  <c r="C71" i="3"/>
  <c r="M70" i="3"/>
  <c r="C70" i="3"/>
  <c r="E70" i="3" s="1"/>
  <c r="M69" i="3"/>
  <c r="E69" i="3"/>
  <c r="C69" i="3"/>
  <c r="M68" i="3"/>
  <c r="E68" i="3"/>
  <c r="C68" i="3"/>
  <c r="M67" i="3"/>
  <c r="C67" i="3"/>
  <c r="E67" i="3" s="1"/>
  <c r="M66" i="3"/>
  <c r="E66" i="3"/>
  <c r="C66" i="3"/>
  <c r="M65" i="3"/>
  <c r="C65" i="3"/>
  <c r="E65" i="3" s="1"/>
  <c r="M64" i="3"/>
  <c r="C64" i="3"/>
  <c r="E64" i="3" s="1"/>
  <c r="M63" i="3"/>
  <c r="C63" i="3"/>
  <c r="E63" i="3" s="1"/>
  <c r="M62" i="3"/>
  <c r="E62" i="3"/>
  <c r="C62" i="3"/>
  <c r="M61" i="3"/>
  <c r="C61" i="3"/>
  <c r="E61" i="3" s="1"/>
  <c r="M60" i="3"/>
  <c r="C60" i="3"/>
  <c r="E60" i="3" s="1"/>
  <c r="M59" i="3"/>
  <c r="E59" i="3"/>
  <c r="C59" i="3"/>
  <c r="M58" i="3"/>
  <c r="C58" i="3"/>
  <c r="E58" i="3" s="1"/>
  <c r="M57" i="3"/>
  <c r="E57" i="3"/>
  <c r="C57" i="3"/>
  <c r="M56" i="3"/>
  <c r="E56" i="3"/>
  <c r="C56" i="3"/>
  <c r="M55" i="3"/>
  <c r="E55" i="3"/>
  <c r="C55" i="3"/>
  <c r="M54" i="3"/>
  <c r="C54" i="3"/>
  <c r="E54" i="3" s="1"/>
  <c r="M53" i="3"/>
  <c r="E53" i="3"/>
  <c r="C53" i="3"/>
  <c r="M52" i="3"/>
  <c r="E52" i="3"/>
  <c r="C52" i="3"/>
  <c r="M51" i="3"/>
  <c r="C51" i="3"/>
  <c r="E51" i="3" s="1"/>
  <c r="M50" i="3"/>
  <c r="E50" i="3"/>
  <c r="C50" i="3"/>
  <c r="M49" i="3"/>
  <c r="C49" i="3"/>
  <c r="E49" i="3" s="1"/>
  <c r="M48" i="3"/>
  <c r="C48" i="3"/>
  <c r="E48" i="3" s="1"/>
  <c r="M47" i="3"/>
  <c r="C47" i="3"/>
  <c r="E47" i="3" s="1"/>
  <c r="M46" i="3"/>
  <c r="E46" i="3"/>
  <c r="C46" i="3"/>
  <c r="M45" i="3"/>
  <c r="C45" i="3"/>
  <c r="M44" i="3"/>
  <c r="C44" i="3"/>
  <c r="M43" i="3"/>
  <c r="E43" i="3"/>
  <c r="C43" i="3"/>
  <c r="M42" i="3"/>
  <c r="C42" i="3"/>
  <c r="M41" i="3"/>
  <c r="E41" i="3"/>
  <c r="C41" i="3"/>
  <c r="M40" i="3"/>
  <c r="E40" i="3"/>
  <c r="C40" i="3"/>
  <c r="M39" i="3"/>
  <c r="E39" i="3"/>
  <c r="C39" i="3"/>
  <c r="M38" i="3"/>
  <c r="C38" i="3"/>
  <c r="E38" i="3" s="1"/>
  <c r="M37" i="3"/>
  <c r="E37" i="3"/>
  <c r="C37" i="3"/>
  <c r="M36" i="3"/>
  <c r="E36" i="3"/>
  <c r="C36" i="3"/>
  <c r="M35" i="3"/>
  <c r="C35" i="3"/>
  <c r="E35" i="3" s="1"/>
  <c r="M34" i="3"/>
  <c r="E34" i="3"/>
  <c r="C34" i="3"/>
  <c r="M33" i="3"/>
  <c r="C33" i="3"/>
  <c r="E33" i="3" s="1"/>
  <c r="M32" i="3"/>
  <c r="C32" i="3"/>
  <c r="E32" i="3" s="1"/>
  <c r="M31" i="3"/>
  <c r="C31" i="3"/>
  <c r="E31" i="3" s="1"/>
  <c r="M30" i="3"/>
  <c r="E30" i="3"/>
  <c r="C30" i="3"/>
  <c r="M29" i="3"/>
  <c r="C29" i="3"/>
  <c r="E29" i="3" s="1"/>
  <c r="M28" i="3"/>
  <c r="C28" i="3"/>
  <c r="E28" i="3" s="1"/>
  <c r="M27" i="3"/>
  <c r="E27" i="3"/>
  <c r="C27" i="3"/>
  <c r="M26" i="3"/>
  <c r="C26" i="3"/>
  <c r="E26" i="3" s="1"/>
  <c r="M25" i="3"/>
  <c r="E25" i="3"/>
  <c r="C25" i="3"/>
  <c r="M24" i="3"/>
  <c r="E24" i="3"/>
  <c r="C24" i="3"/>
  <c r="M23" i="3"/>
  <c r="E23" i="3"/>
  <c r="C23" i="3"/>
  <c r="M22" i="3"/>
  <c r="C22" i="3"/>
  <c r="E22" i="3" s="1"/>
  <c r="M21" i="3"/>
  <c r="E21" i="3"/>
  <c r="C21" i="3"/>
  <c r="E170" i="3" s="1"/>
  <c r="M20" i="3"/>
  <c r="E20" i="3"/>
  <c r="C20" i="3"/>
  <c r="E45" i="3" s="1"/>
  <c r="M19" i="3"/>
  <c r="E19" i="3"/>
  <c r="C19" i="3"/>
  <c r="M18" i="3"/>
  <c r="E18" i="3"/>
  <c r="C18" i="3"/>
  <c r="M17" i="3"/>
  <c r="C17" i="3"/>
  <c r="E17" i="3" s="1"/>
  <c r="M16" i="3"/>
  <c r="C16" i="3"/>
  <c r="E16" i="3" s="1"/>
  <c r="M15" i="3"/>
  <c r="C15" i="3"/>
  <c r="E15" i="3" s="1"/>
  <c r="M14" i="3"/>
  <c r="C14" i="3"/>
  <c r="M13" i="3"/>
  <c r="C13" i="3"/>
  <c r="E13" i="3" s="1"/>
  <c r="M12" i="3"/>
  <c r="C12" i="3"/>
  <c r="E12" i="3" s="1"/>
  <c r="M11" i="3"/>
  <c r="E11" i="3"/>
  <c r="C11" i="3"/>
  <c r="M10" i="3"/>
  <c r="C10" i="3"/>
  <c r="E10" i="3" s="1"/>
  <c r="M9" i="3"/>
  <c r="E9" i="3"/>
  <c r="C9" i="3"/>
  <c r="M8" i="3"/>
  <c r="E8" i="3"/>
  <c r="C8" i="3"/>
  <c r="M7" i="3"/>
  <c r="E7" i="3"/>
  <c r="C7" i="3"/>
  <c r="E167" i="3" s="1"/>
  <c r="M6" i="3"/>
  <c r="C6" i="3"/>
  <c r="E6" i="3" s="1"/>
  <c r="M5" i="3"/>
  <c r="E5" i="3"/>
  <c r="C5" i="3"/>
  <c r="A4" i="3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F143" i="1"/>
  <c r="C143" i="1"/>
  <c r="A143" i="1"/>
  <c r="F142" i="1"/>
  <c r="C142" i="1"/>
  <c r="A142" i="1"/>
  <c r="F141" i="1"/>
  <c r="C141" i="1"/>
  <c r="A141" i="1"/>
  <c r="F140" i="1"/>
  <c r="C140" i="1"/>
  <c r="F139" i="1"/>
  <c r="C139" i="1"/>
  <c r="F138" i="1"/>
  <c r="C138" i="1"/>
  <c r="F137" i="1"/>
  <c r="C137" i="1"/>
  <c r="F136" i="1"/>
  <c r="C136" i="1"/>
  <c r="F135" i="1"/>
  <c r="C135" i="1"/>
  <c r="A135" i="1"/>
  <c r="F134" i="1"/>
  <c r="C134" i="1"/>
  <c r="A134" i="1"/>
  <c r="F133" i="1"/>
  <c r="C133" i="1"/>
  <c r="F132" i="1"/>
  <c r="C132" i="1"/>
  <c r="F131" i="1"/>
  <c r="C131" i="1"/>
  <c r="A131" i="1"/>
  <c r="F130" i="1"/>
  <c r="C130" i="1"/>
  <c r="A130" i="1"/>
  <c r="F129" i="1"/>
  <c r="C129" i="1"/>
  <c r="A129" i="1"/>
  <c r="F128" i="1"/>
  <c r="C128" i="1"/>
  <c r="A128" i="1"/>
  <c r="F127" i="1"/>
  <c r="C127" i="1"/>
  <c r="A127" i="1"/>
  <c r="F126" i="1"/>
  <c r="C126" i="1"/>
  <c r="F125" i="1"/>
  <c r="C125" i="1"/>
  <c r="F124" i="1"/>
  <c r="C124" i="1"/>
  <c r="A124" i="1"/>
  <c r="F123" i="1"/>
  <c r="C123" i="1"/>
  <c r="A123" i="1"/>
  <c r="F122" i="1"/>
  <c r="C122" i="1"/>
  <c r="F121" i="1"/>
  <c r="C121" i="1"/>
  <c r="A121" i="1"/>
  <c r="F120" i="1"/>
  <c r="C120" i="1"/>
  <c r="A120" i="1"/>
  <c r="F119" i="1"/>
  <c r="C119" i="1"/>
  <c r="A119" i="1"/>
  <c r="F118" i="1"/>
  <c r="C118" i="1"/>
  <c r="A118" i="1"/>
  <c r="F117" i="1"/>
  <c r="C117" i="1"/>
  <c r="A117" i="1"/>
  <c r="F116" i="1"/>
  <c r="C116" i="1"/>
  <c r="A116" i="1"/>
  <c r="F115" i="1"/>
  <c r="C115" i="1"/>
  <c r="A115" i="1"/>
  <c r="F114" i="1"/>
  <c r="C114" i="1"/>
  <c r="A114" i="1"/>
  <c r="F113" i="1"/>
  <c r="C113" i="1"/>
  <c r="A113" i="1"/>
  <c r="F112" i="1"/>
  <c r="C112" i="1"/>
  <c r="A112" i="1"/>
  <c r="F111" i="1"/>
  <c r="C111" i="1"/>
  <c r="A111" i="1"/>
  <c r="F110" i="1"/>
  <c r="C110" i="1"/>
  <c r="A110" i="1"/>
  <c r="F109" i="1"/>
  <c r="C109" i="1"/>
  <c r="F108" i="1"/>
  <c r="C108" i="1"/>
  <c r="F107" i="1"/>
  <c r="C107" i="1"/>
  <c r="A107" i="1"/>
  <c r="F106" i="1"/>
  <c r="C106" i="1"/>
  <c r="A106" i="1"/>
  <c r="F105" i="1"/>
  <c r="C105" i="1"/>
  <c r="A105" i="1"/>
  <c r="F104" i="1"/>
  <c r="C104" i="1"/>
  <c r="A104" i="1"/>
  <c r="F103" i="1"/>
  <c r="C103" i="1"/>
  <c r="A103" i="1"/>
  <c r="F102" i="1"/>
  <c r="C102" i="1"/>
  <c r="A102" i="1"/>
  <c r="F101" i="1"/>
  <c r="C101" i="1"/>
  <c r="F100" i="1"/>
  <c r="C100" i="1"/>
  <c r="F99" i="1"/>
  <c r="C99" i="1"/>
  <c r="A99" i="1"/>
  <c r="F98" i="1"/>
  <c r="C98" i="1"/>
  <c r="A98" i="1"/>
  <c r="F97" i="1"/>
  <c r="C97" i="1"/>
  <c r="A97" i="1"/>
  <c r="F96" i="1"/>
  <c r="C96" i="1"/>
  <c r="A96" i="1"/>
  <c r="F95" i="1"/>
  <c r="C95" i="1"/>
  <c r="A95" i="1"/>
  <c r="F94" i="1"/>
  <c r="C94" i="1"/>
  <c r="A94" i="1"/>
  <c r="F93" i="1"/>
  <c r="C93" i="1"/>
  <c r="A93" i="1"/>
  <c r="F92" i="1"/>
  <c r="C92" i="1"/>
  <c r="A92" i="1"/>
  <c r="F91" i="1"/>
  <c r="C91" i="1"/>
  <c r="A91" i="1"/>
  <c r="F90" i="1"/>
  <c r="C90" i="1"/>
  <c r="A90" i="1"/>
  <c r="F89" i="1"/>
  <c r="C89" i="1"/>
  <c r="A89" i="1"/>
  <c r="F88" i="1"/>
  <c r="C88" i="1"/>
  <c r="A88" i="1"/>
  <c r="F87" i="1"/>
  <c r="C87" i="1"/>
  <c r="A87" i="1"/>
  <c r="F86" i="1"/>
  <c r="C86" i="1"/>
  <c r="A86" i="1"/>
  <c r="F85" i="1"/>
  <c r="C85" i="1"/>
  <c r="A85" i="1"/>
  <c r="F84" i="1"/>
  <c r="C84" i="1"/>
  <c r="A84" i="1"/>
  <c r="F83" i="1"/>
  <c r="C83" i="1"/>
  <c r="A83" i="1"/>
  <c r="F82" i="1"/>
  <c r="C82" i="1"/>
  <c r="A82" i="1"/>
  <c r="F81" i="1"/>
  <c r="C81" i="1"/>
  <c r="A81" i="1"/>
  <c r="F80" i="1"/>
  <c r="C80" i="1"/>
  <c r="A80" i="1"/>
  <c r="F79" i="1"/>
  <c r="C79" i="1"/>
  <c r="A79" i="1"/>
  <c r="F78" i="1"/>
  <c r="C78" i="1"/>
  <c r="A78" i="1"/>
  <c r="F77" i="1"/>
  <c r="C77" i="1"/>
  <c r="F76" i="1"/>
  <c r="C76" i="1"/>
  <c r="A76" i="1"/>
  <c r="F75" i="1"/>
  <c r="C75" i="1"/>
  <c r="A75" i="1"/>
  <c r="F74" i="1"/>
  <c r="C74" i="1"/>
  <c r="A74" i="1"/>
  <c r="F73" i="1"/>
  <c r="C73" i="1"/>
  <c r="A73" i="1"/>
  <c r="F72" i="1"/>
  <c r="C72" i="1"/>
  <c r="A72" i="1"/>
  <c r="F71" i="1"/>
  <c r="C71" i="1"/>
  <c r="A71" i="1"/>
  <c r="F70" i="1"/>
  <c r="C70" i="1"/>
  <c r="A70" i="1"/>
  <c r="F69" i="1"/>
  <c r="C69" i="1"/>
  <c r="A69" i="1"/>
  <c r="F68" i="1"/>
  <c r="C68" i="1"/>
  <c r="A68" i="1"/>
  <c r="F67" i="1"/>
  <c r="C67" i="1"/>
  <c r="A67" i="1"/>
  <c r="F66" i="1"/>
  <c r="C66" i="1"/>
  <c r="A66" i="1"/>
  <c r="F65" i="1"/>
  <c r="C65" i="1"/>
  <c r="A65" i="1"/>
  <c r="F64" i="1"/>
  <c r="C64" i="1"/>
  <c r="A64" i="1"/>
  <c r="F63" i="1"/>
  <c r="C63" i="1"/>
  <c r="A63" i="1"/>
  <c r="F62" i="1"/>
  <c r="C62" i="1"/>
  <c r="A62" i="1"/>
  <c r="F61" i="1"/>
  <c r="C61" i="1"/>
  <c r="A61" i="1"/>
  <c r="F60" i="1"/>
  <c r="C60" i="1"/>
  <c r="A60" i="1"/>
  <c r="F59" i="1"/>
  <c r="C59" i="1"/>
  <c r="A59" i="1"/>
  <c r="F58" i="1"/>
  <c r="C58" i="1"/>
  <c r="F57" i="1"/>
  <c r="C57" i="1"/>
  <c r="A57" i="1"/>
  <c r="F56" i="1"/>
  <c r="C56" i="1"/>
  <c r="F55" i="1"/>
  <c r="C55" i="1"/>
  <c r="A55" i="1"/>
  <c r="F54" i="1"/>
  <c r="C54" i="1"/>
  <c r="A54" i="1"/>
  <c r="F53" i="1"/>
  <c r="C53" i="1"/>
  <c r="A53" i="1"/>
  <c r="F52" i="1"/>
  <c r="C52" i="1"/>
  <c r="A52" i="1"/>
  <c r="F51" i="1"/>
  <c r="C51" i="1"/>
  <c r="A51" i="1"/>
  <c r="F50" i="1"/>
  <c r="C50" i="1"/>
  <c r="A50" i="1"/>
  <c r="F49" i="1"/>
  <c r="C49" i="1"/>
  <c r="F48" i="1"/>
  <c r="C48" i="1"/>
  <c r="A48" i="1"/>
  <c r="F47" i="1"/>
  <c r="C47" i="1"/>
  <c r="A47" i="1"/>
  <c r="F46" i="1"/>
  <c r="C46" i="1"/>
  <c r="A46" i="1"/>
  <c r="F45" i="1"/>
  <c r="C45" i="1"/>
  <c r="A45" i="1"/>
  <c r="F44" i="1"/>
  <c r="C44" i="1"/>
  <c r="A44" i="1"/>
  <c r="F43" i="1"/>
  <c r="C43" i="1"/>
  <c r="A43" i="1"/>
  <c r="F42" i="1"/>
  <c r="C42" i="1"/>
  <c r="A42" i="1"/>
  <c r="F41" i="1"/>
  <c r="C41" i="1"/>
  <c r="A41" i="1"/>
  <c r="F40" i="1"/>
  <c r="C40" i="1"/>
  <c r="A40" i="1"/>
  <c r="F39" i="1"/>
  <c r="C39" i="1"/>
  <c r="A39" i="1"/>
  <c r="F38" i="1"/>
  <c r="C38" i="1"/>
  <c r="A38" i="1"/>
  <c r="F37" i="1"/>
  <c r="C37" i="1"/>
  <c r="A37" i="1"/>
  <c r="F36" i="1"/>
  <c r="C36" i="1"/>
  <c r="A36" i="1"/>
  <c r="F35" i="1"/>
  <c r="C35" i="1"/>
  <c r="A35" i="1"/>
  <c r="F34" i="1"/>
  <c r="C34" i="1"/>
  <c r="A34" i="1"/>
  <c r="F33" i="1"/>
  <c r="C33" i="1"/>
  <c r="A33" i="1"/>
  <c r="F32" i="1"/>
  <c r="C32" i="1"/>
  <c r="A32" i="1"/>
  <c r="F31" i="1"/>
  <c r="C31" i="1"/>
  <c r="A31" i="1"/>
  <c r="F30" i="1"/>
  <c r="C30" i="1"/>
  <c r="A30" i="1"/>
  <c r="F29" i="1"/>
  <c r="C29" i="1"/>
  <c r="A29" i="1"/>
  <c r="F28" i="1"/>
  <c r="C28" i="1"/>
  <c r="A28" i="1"/>
  <c r="F27" i="1"/>
  <c r="C27" i="1"/>
  <c r="A27" i="1"/>
  <c r="F26" i="1"/>
  <c r="C26" i="1"/>
  <c r="A26" i="1"/>
  <c r="F25" i="1"/>
  <c r="C25" i="1"/>
  <c r="A25" i="1"/>
  <c r="F24" i="1"/>
  <c r="C24" i="1"/>
  <c r="A24" i="1"/>
  <c r="F23" i="1"/>
  <c r="C23" i="1"/>
  <c r="A23" i="1"/>
  <c r="F22" i="1"/>
  <c r="C22" i="1"/>
  <c r="A22" i="1"/>
  <c r="F21" i="1"/>
  <c r="C21" i="1"/>
  <c r="A21" i="1"/>
  <c r="F20" i="1"/>
  <c r="C20" i="1"/>
  <c r="A20" i="1"/>
  <c r="F19" i="1"/>
  <c r="C19" i="1"/>
  <c r="A19" i="1"/>
  <c r="F18" i="1"/>
  <c r="C18" i="1"/>
  <c r="F17" i="1"/>
  <c r="C17" i="1"/>
  <c r="A17" i="1"/>
  <c r="F16" i="1"/>
  <c r="C16" i="1"/>
  <c r="A16" i="1"/>
  <c r="F15" i="1"/>
  <c r="C15" i="1"/>
  <c r="F14" i="1"/>
  <c r="C14" i="1"/>
  <c r="A14" i="1"/>
  <c r="F13" i="1"/>
  <c r="C13" i="1"/>
  <c r="A13" i="1"/>
  <c r="F12" i="1"/>
  <c r="C12" i="1"/>
  <c r="A12" i="1"/>
  <c r="F11" i="1"/>
  <c r="C11" i="1"/>
  <c r="F10" i="1"/>
  <c r="C10" i="1"/>
  <c r="A10" i="1"/>
  <c r="F9" i="1"/>
  <c r="C9" i="1"/>
  <c r="A9" i="1"/>
  <c r="F8" i="1"/>
  <c r="C8" i="1"/>
  <c r="A8" i="1"/>
  <c r="F7" i="1"/>
  <c r="C7" i="1"/>
  <c r="A7" i="1"/>
  <c r="F6" i="1"/>
  <c r="C6" i="1"/>
  <c r="A6" i="1"/>
  <c r="F5" i="1"/>
  <c r="C5" i="1"/>
  <c r="A5" i="1"/>
  <c r="F4" i="1"/>
  <c r="C4" i="1"/>
  <c r="A4" i="1"/>
  <c r="F3" i="1"/>
  <c r="C3" i="1"/>
  <c r="A3" i="1"/>
  <c r="F2" i="1"/>
  <c r="C2" i="1"/>
  <c r="A2" i="1"/>
  <c r="C1" i="1"/>
  <c r="E83" i="3" l="1"/>
  <c r="E147" i="3"/>
  <c r="E14" i="3"/>
  <c r="E159" i="3"/>
  <c r="E42" i="3"/>
  <c r="E154" i="3"/>
  <c r="E149" i="3"/>
  <c r="E107" i="3"/>
  <c r="E171" i="3"/>
  <c r="E44" i="3"/>
  <c r="E108" i="3"/>
  <c r="E151" i="3"/>
</calcChain>
</file>

<file path=xl/sharedStrings.xml><?xml version="1.0" encoding="utf-8"?>
<sst xmlns="http://schemas.openxmlformats.org/spreadsheetml/2006/main" count="6917" uniqueCount="1034">
  <si>
    <t>Use?</t>
  </si>
  <si>
    <t>Pin Function</t>
  </si>
  <si>
    <t>Net</t>
  </si>
  <si>
    <t>GPIO</t>
  </si>
  <si>
    <t>Additional Function</t>
  </si>
  <si>
    <t>AF0</t>
  </si>
  <si>
    <t>AF1</t>
  </si>
  <si>
    <t>AF2</t>
  </si>
  <si>
    <t>AF3</t>
  </si>
  <si>
    <t>AF4</t>
  </si>
  <si>
    <t>AF5</t>
  </si>
  <si>
    <t>AF6</t>
  </si>
  <si>
    <t>AF7</t>
  </si>
  <si>
    <t>AF8</t>
  </si>
  <si>
    <t>AF9</t>
  </si>
  <si>
    <t>AF10</t>
  </si>
  <si>
    <t>AF11</t>
  </si>
  <si>
    <t>AF12</t>
  </si>
  <si>
    <t>AF13</t>
  </si>
  <si>
    <t>AF14</t>
  </si>
  <si>
    <t>AF15</t>
  </si>
  <si>
    <t>Notes</t>
  </si>
  <si>
    <t>l</t>
  </si>
  <si>
    <t>-</t>
  </si>
  <si>
    <t>NRST</t>
  </si>
  <si>
    <t>nRST</t>
  </si>
  <si>
    <t>PA0</t>
  </si>
  <si>
    <t>TIM5_CH1</t>
  </si>
  <si>
    <t>TIM8_ETR</t>
  </si>
  <si>
    <t>TIM15_BKIN</t>
  </si>
  <si>
    <t>SPI6_NSS</t>
  </si>
  <si>
    <t>SPI3_RDY</t>
  </si>
  <si>
    <t>USART2_CTS/ USART2_NSS</t>
  </si>
  <si>
    <t>UART4_TX</t>
  </si>
  <si>
    <t>SDMMC2_CMD</t>
  </si>
  <si>
    <t>SAI2_SD_B</t>
  </si>
  <si>
    <t>ETH_MII_CRS</t>
  </si>
  <si>
    <t>TIM2_ETR</t>
  </si>
  <si>
    <t>EVENTOUT</t>
  </si>
  <si>
    <t>PA1</t>
  </si>
  <si>
    <t>PHY_REF_CLK</t>
  </si>
  <si>
    <t>TIM2_CH2</t>
  </si>
  <si>
    <t>TIM5_CH2</t>
  </si>
  <si>
    <t>TIM15_CH1N</t>
  </si>
  <si>
    <t>LPTIM1_IN1</t>
  </si>
  <si>
    <t>OCTOSPI1_DQS</t>
  </si>
  <si>
    <t>USART2_RTS</t>
  </si>
  <si>
    <t>UART4_RX</t>
  </si>
  <si>
    <t>OCTOSPI1_IO3</t>
  </si>
  <si>
    <t>SAI2_MCLK_B</t>
  </si>
  <si>
    <t>ETH_MII_RX_CLK/ ETH_RMII_REF_CLK</t>
  </si>
  <si>
    <t>PA10</t>
  </si>
  <si>
    <t>USART1.RX</t>
  </si>
  <si>
    <t>TIM1_CH3</t>
  </si>
  <si>
    <t>LPUART1_RX</t>
  </si>
  <si>
    <t>LPTIM2_IN2</t>
  </si>
  <si>
    <t>UCPD1_FRSTX</t>
  </si>
  <si>
    <t>USART1_RX</t>
  </si>
  <si>
    <t>FDCAN2_TX</t>
  </si>
  <si>
    <t>SDMMC1_D0</t>
  </si>
  <si>
    <t>DCMI_D1/PSSI_D1</t>
  </si>
  <si>
    <t>PA11</t>
  </si>
  <si>
    <t>TIM1_CH4</t>
  </si>
  <si>
    <t>LPUART1_CTS</t>
  </si>
  <si>
    <t>SPI2_NSS/I2S2_WS</t>
  </si>
  <si>
    <t>ART1_NSS</t>
  </si>
  <si>
    <t>FDCAN1_RX</t>
  </si>
  <si>
    <t>USB_DM</t>
  </si>
  <si>
    <t>PA12</t>
  </si>
  <si>
    <t>TIM1_ETR</t>
  </si>
  <si>
    <t>LPUART1_RTS</t>
  </si>
  <si>
    <t>SPI2_SCK/I2S2_CK</t>
  </si>
  <si>
    <t>USART1_RTS</t>
  </si>
  <si>
    <t>SAI2_FS_B</t>
  </si>
  <si>
    <t>FDCAN1_TX</t>
  </si>
  <si>
    <t>USB_DP</t>
  </si>
  <si>
    <t>PA13(JTMS/SWDIO)</t>
  </si>
  <si>
    <t>SWDIO</t>
  </si>
  <si>
    <t>JTMS/SWDIO</t>
  </si>
  <si>
    <t>PA14(JTCK/SWCLK)</t>
  </si>
  <si>
    <t>SWCLK</t>
  </si>
  <si>
    <t>JTCK/SWCLK</t>
  </si>
  <si>
    <t>PA15(JTDI)</t>
  </si>
  <si>
    <t>JTDI</t>
  </si>
  <si>
    <t>TIM2_CH1</t>
  </si>
  <si>
    <t>LPTIM3_IN2</t>
  </si>
  <si>
    <t>HDMI_CEC</t>
  </si>
  <si>
    <t>SPI1_NSS/I2S1_WS</t>
  </si>
  <si>
    <t>SPI3_NSS/I2S3_WS</t>
  </si>
  <si>
    <t>UART4_RTS</t>
  </si>
  <si>
    <t>UART7_TX</t>
  </si>
  <si>
    <t>FMC_NBL1</t>
  </si>
  <si>
    <t>DCMI_D11/PSSI_D11</t>
  </si>
  <si>
    <t>PA2</t>
  </si>
  <si>
    <t>MAC.MDIO</t>
  </si>
  <si>
    <t>TIM2_CH3</t>
  </si>
  <si>
    <t>TIM5_CH3</t>
  </si>
  <si>
    <t>TIM15_CH1</t>
  </si>
  <si>
    <t>LPTIM1_IN2</t>
  </si>
  <si>
    <t>USART2_TX</t>
  </si>
  <si>
    <t>SAI2_SCK_B</t>
  </si>
  <si>
    <t>ETH_MDIO</t>
  </si>
  <si>
    <t>PA3</t>
  </si>
  <si>
    <t>AUX_ANALOG</t>
  </si>
  <si>
    <t>TIM2_CH4</t>
  </si>
  <si>
    <t>TIM5_CH4</t>
  </si>
  <si>
    <t>OCTOSPI1_CLK</t>
  </si>
  <si>
    <t>TIM15_CH2</t>
  </si>
  <si>
    <t>SAI1_SD_B</t>
  </si>
  <si>
    <t>USART2_RX</t>
  </si>
  <si>
    <t>ETH_MII_COL</t>
  </si>
  <si>
    <t>PA4</t>
  </si>
  <si>
    <t>TX_SIG</t>
  </si>
  <si>
    <t>TIM5_ETR</t>
  </si>
  <si>
    <t>LPTIM2_CH1</t>
  </si>
  <si>
    <t>USART2_CK</t>
  </si>
  <si>
    <t>DCMI_HSYNC/PSSI_DE</t>
  </si>
  <si>
    <t>PA5</t>
  </si>
  <si>
    <t>MOTOR_VREF</t>
  </si>
  <si>
    <t>TIM8_CH1N</t>
  </si>
  <si>
    <t>SPI1_SCK/I2S1_CK</t>
  </si>
  <si>
    <t>SPI6_SCK</t>
  </si>
  <si>
    <t>ETH_MII_TX_EN/ ETH_RMII_TX_EN</t>
  </si>
  <si>
    <t>PSSI_D14</t>
  </si>
  <si>
    <t>PA6</t>
  </si>
  <si>
    <t>TIM1_BKIN</t>
  </si>
  <si>
    <t>TIM3_CH1</t>
  </si>
  <si>
    <t>TIM8_BKIN</t>
  </si>
  <si>
    <t>SPI1_MISO/I2S1_SDI</t>
  </si>
  <si>
    <t>USART11_TX</t>
  </si>
  <si>
    <t>SPI6_MISO</t>
  </si>
  <si>
    <t>TIM13_CH1</t>
  </si>
  <si>
    <t>DCMI_PIXCLK/PSSI_PDCK</t>
  </si>
  <si>
    <t>PA7</t>
  </si>
  <si>
    <t>MAC.CRSDV</t>
  </si>
  <si>
    <t>TIM1_CH1N</t>
  </si>
  <si>
    <t>TIM3_CH2</t>
  </si>
  <si>
    <t>SPI1_MOSI/I2S1_SDO</t>
  </si>
  <si>
    <t>USART11_RX</t>
  </si>
  <si>
    <t>SPI6_MOSI</t>
  </si>
  <si>
    <t>TIM14_CH1</t>
  </si>
  <si>
    <t>OCTOSPI1_IO2</t>
  </si>
  <si>
    <t>ETH_MII_RX_DV/ ETH_RMII_CRS_DV</t>
  </si>
  <si>
    <t>FMC_SDNWE</t>
  </si>
  <si>
    <t>FMC_NWE</t>
  </si>
  <si>
    <t>PA8</t>
  </si>
  <si>
    <t>MCO1</t>
  </si>
  <si>
    <t>TIM1_CH1</t>
  </si>
  <si>
    <t>TIM8_BKIN2</t>
  </si>
  <si>
    <t>I2C3_SCL</t>
  </si>
  <si>
    <t>SPI1_RDY</t>
  </si>
  <si>
    <t>USART1_CK</t>
  </si>
  <si>
    <t>USB_SOF</t>
  </si>
  <si>
    <t>UART7_RX</t>
  </si>
  <si>
    <t>FMC_NOE</t>
  </si>
  <si>
    <t>DCMI_D3/PSSI_D3</t>
  </si>
  <si>
    <t>PA9</t>
  </si>
  <si>
    <t>USART1.TX</t>
  </si>
  <si>
    <t>TIM1_CH2</t>
  </si>
  <si>
    <t>LPUART1_TX</t>
  </si>
  <si>
    <t>I2C3_SMBA</t>
  </si>
  <si>
    <t>USART1_TX</t>
  </si>
  <si>
    <t>ETH_MII_TX_ER</t>
  </si>
  <si>
    <t>DCMI_D0/PSSI_D0</t>
  </si>
  <si>
    <t>PB0</t>
  </si>
  <si>
    <t>TIM1_CH2N</t>
  </si>
  <si>
    <t>TIM3_CH3</t>
  </si>
  <si>
    <t>TIM8_CH2N</t>
  </si>
  <si>
    <t>OCTOSPI1_IO1</t>
  </si>
  <si>
    <t>USART11_CK</t>
  </si>
  <si>
    <t>UART4_CTS</t>
  </si>
  <si>
    <t>ETH_MII_RXD2</t>
  </si>
  <si>
    <t>LPTIM3_CH1</t>
  </si>
  <si>
    <t>PB1</t>
  </si>
  <si>
    <t>TIM1_CH3N</t>
  </si>
  <si>
    <t>TIM3_CH4</t>
  </si>
  <si>
    <t>TIM8_CH3N</t>
  </si>
  <si>
    <t>OCTOSPI1_IO0</t>
  </si>
  <si>
    <t>ETH_MII_RXD3</t>
  </si>
  <si>
    <t>LPTIM3_CH2</t>
  </si>
  <si>
    <t>PB10</t>
  </si>
  <si>
    <t>MAC.RXER</t>
  </si>
  <si>
    <t>LPTIM2_IN1</t>
  </si>
  <si>
    <t>I2C2_SCL</t>
  </si>
  <si>
    <t>USART3_TX</t>
  </si>
  <si>
    <t>OCTOSPI1_NCS</t>
  </si>
  <si>
    <t>ETH_MII_RX_ER</t>
  </si>
  <si>
    <t>PB11</t>
  </si>
  <si>
    <t>MAX.TXEN</t>
  </si>
  <si>
    <t>LPTIM2_ETR</t>
  </si>
  <si>
    <t>I2C2_SDA</t>
  </si>
  <si>
    <t>SPI2_RDY</t>
  </si>
  <si>
    <t>SPI4_RDY</t>
  </si>
  <si>
    <t>USART3_RX</t>
  </si>
  <si>
    <t>PB12</t>
  </si>
  <si>
    <t>MAC.TXD0</t>
  </si>
  <si>
    <t>OCTOSPI1_NCLK</t>
  </si>
  <si>
    <t>USART3_CK</t>
  </si>
  <si>
    <t>FDCAN2_RX</t>
  </si>
  <si>
    <t>ETH_MII_TXD0/ ETH_RMII_TXD0</t>
  </si>
  <si>
    <t>UART5_RX</t>
  </si>
  <si>
    <t>PB13</t>
  </si>
  <si>
    <t>LPTIM3_IN1</t>
  </si>
  <si>
    <t>I2C2_SMBA</t>
  </si>
  <si>
    <t>USART3_CTS/USART3_NSS</t>
  </si>
  <si>
    <t>UART5_TX</t>
  </si>
  <si>
    <t>PB14</t>
  </si>
  <si>
    <t>TIM12_CH1</t>
  </si>
  <si>
    <t>SPI2_MISO/I2S2_SDI</t>
  </si>
  <si>
    <t>USART3_RTS</t>
  </si>
  <si>
    <t>SDMMC2_D0</t>
  </si>
  <si>
    <t>LPTIM3_ETR</t>
  </si>
  <si>
    <t>PB15</t>
  </si>
  <si>
    <t>MAC.TXD1</t>
  </si>
  <si>
    <t>RTC_REFIN</t>
  </si>
  <si>
    <t>TIM12_CH2</t>
  </si>
  <si>
    <t>SPI2_MOSI/I2S2_SDO</t>
  </si>
  <si>
    <t>USART11_CTS/USART11_NSS</t>
  </si>
  <si>
    <t>SDMMC2_D1</t>
  </si>
  <si>
    <t>ETH_MII_TXD1/ ETH_RMII_TXD1</t>
  </si>
  <si>
    <t>DCMI_D2/PSSI_D2</t>
  </si>
  <si>
    <t>PB2</t>
  </si>
  <si>
    <t>OCTOSPI1.DQS</t>
  </si>
  <si>
    <t>RTC_OUT2</t>
  </si>
  <si>
    <t>SAI1_D1</t>
  </si>
  <si>
    <t>TIM8_CH4N</t>
  </si>
  <si>
    <t>LPTIM1_CH1</t>
  </si>
  <si>
    <t>SAI1_SD_A</t>
  </si>
  <si>
    <t>SPI3_MOSI/I2S3_SDO</t>
  </si>
  <si>
    <t>SDMMC1_CMD</t>
  </si>
  <si>
    <t>LPTIM5_ETR</t>
  </si>
  <si>
    <t>PB3(JTDO/TRACESWO)</t>
  </si>
  <si>
    <t>JTDO/TRACESWO</t>
  </si>
  <si>
    <t>SPI3_SCK/I2S3_CK</t>
  </si>
  <si>
    <t>UART12_CTS/UART12_NSS</t>
  </si>
  <si>
    <t>SDMMC2_D2</t>
  </si>
  <si>
    <t>CRS_SYNC</t>
  </si>
  <si>
    <t>LPTIM6_ETR</t>
  </si>
  <si>
    <t>PB4(NJTRST)</t>
  </si>
  <si>
    <t>NJTRST</t>
  </si>
  <si>
    <t>TIM16_BKIN</t>
  </si>
  <si>
    <t>LPTIM1_CH2</t>
  </si>
  <si>
    <t>SPI3_MISO/I2S3_SDI</t>
  </si>
  <si>
    <t>SDMMC2_D3</t>
  </si>
  <si>
    <t>DCMI_D7/PSSI_D7</t>
  </si>
  <si>
    <t>PB5</t>
  </si>
  <si>
    <t>TIM17_BKIN</t>
  </si>
  <si>
    <t>I2C1_SMBA</t>
  </si>
  <si>
    <t>I2C4_SMBA</t>
  </si>
  <si>
    <t>ETH_PPS_OUT</t>
  </si>
  <si>
    <t>FMC_SDCKE1</t>
  </si>
  <si>
    <t>DCMI_D10/PSSI_D10</t>
  </si>
  <si>
    <t>PB6</t>
  </si>
  <si>
    <t>TIM16_CH1N</t>
  </si>
  <si>
    <t>TIM4_CH1</t>
  </si>
  <si>
    <t>I3C1_SCL</t>
  </si>
  <si>
    <t>I2C1_SCL</t>
  </si>
  <si>
    <t>I2C4_SCL</t>
  </si>
  <si>
    <t>FMC_SDNE1</t>
  </si>
  <si>
    <t>DCMI_D5/PSSI_D5</t>
  </si>
  <si>
    <t>PB7</t>
  </si>
  <si>
    <t>TIM17_CH1N</t>
  </si>
  <si>
    <t>TIM4_CH2</t>
  </si>
  <si>
    <t>I3C1_SDA</t>
  </si>
  <si>
    <t>I2C1_SDA</t>
  </si>
  <si>
    <t>I2C4_SDA</t>
  </si>
  <si>
    <t>SDMMC2_D5</t>
  </si>
  <si>
    <t>SDMMC2_CKIN</t>
  </si>
  <si>
    <t>FMC_NL</t>
  </si>
  <si>
    <t>DCMI_VSYNC/PSSI_RDY</t>
  </si>
  <si>
    <t>PB8</t>
  </si>
  <si>
    <t>I2C1.SCL</t>
  </si>
  <si>
    <t>TIM16_CH1</t>
  </si>
  <si>
    <t>TIM4_CH3</t>
  </si>
  <si>
    <t>SDMMC1_CKIN</t>
  </si>
  <si>
    <t>SDMMC2_D4</t>
  </si>
  <si>
    <t>ETH_MII_TXD3</t>
  </si>
  <si>
    <t>SDMMC1_D4</t>
  </si>
  <si>
    <t>DCMI_D6/PSSI_D6</t>
  </si>
  <si>
    <t>PB9</t>
  </si>
  <si>
    <t>I2C1.SDA</t>
  </si>
  <si>
    <t>TIM17_CH1</t>
  </si>
  <si>
    <t>TIM4_CH4</t>
  </si>
  <si>
    <t>++</t>
  </si>
  <si>
    <t>SDMMC1_CDIR</t>
  </si>
  <si>
    <t>SDMMC1_D5</t>
  </si>
  <si>
    <t>PC0</t>
  </si>
  <si>
    <t>TX_ISENSE</t>
  </si>
  <si>
    <t>SAI1_MCLK_A</t>
  </si>
  <si>
    <t>FMC_A25</t>
  </si>
  <si>
    <t>OCTOSPI1_IO7</t>
  </si>
  <si>
    <t>PC1</t>
  </si>
  <si>
    <t>MAC.MDC</t>
  </si>
  <si>
    <t>TRACED0</t>
  </si>
  <si>
    <t>USART11_RTS</t>
  </si>
  <si>
    <t>SAI2_SD_A</t>
  </si>
  <si>
    <t>SDMMC2_CK</t>
  </si>
  <si>
    <t>OCTOSPI1_IO4</t>
  </si>
  <si>
    <t>ETH_MDC</t>
  </si>
  <si>
    <t>PC10</t>
  </si>
  <si>
    <t>OCTOSPI1_IO1-</t>
  </si>
  <si>
    <t>SDMMC1_D2</t>
  </si>
  <si>
    <t>DCMI_D8/PSSI_D8</t>
  </si>
  <si>
    <t>PC11</t>
  </si>
  <si>
    <t>SDMMC1_D3</t>
  </si>
  <si>
    <t>DCMI_D4/PSSI_D4</t>
  </si>
  <si>
    <t>PC12</t>
  </si>
  <si>
    <t>TRACED3</t>
  </si>
  <si>
    <t>SDMMC1_CK</t>
  </si>
  <si>
    <t>DCMI_D9/PSSI_D9</t>
  </si>
  <si>
    <t>PC13</t>
  </si>
  <si>
    <t>PC14(OSC32_IN)</t>
  </si>
  <si>
    <t>PC15(OSC32_OUT)</t>
  </si>
  <si>
    <t>PC2</t>
  </si>
  <si>
    <t>PWR_CSLEEP</t>
  </si>
  <si>
    <t>OCTOSPI1_IO5</t>
  </si>
  <si>
    <t>ETH_MII_TXD2</t>
  </si>
  <si>
    <t>FMC_SDNE0</t>
  </si>
  <si>
    <t>PC3</t>
  </si>
  <si>
    <t>PWR_CSTOP</t>
  </si>
  <si>
    <t>SAI1_D3</t>
  </si>
  <si>
    <t>OCTOSPI1_IO6</t>
  </si>
  <si>
    <t>ETH_MII_TX_CLK</t>
  </si>
  <si>
    <t>FMC_SDCKE0</t>
  </si>
  <si>
    <t>PC4</t>
  </si>
  <si>
    <t>MAC.RXD0</t>
  </si>
  <si>
    <t>SAI1_CK1</t>
  </si>
  <si>
    <t>I2S1_MCK</t>
  </si>
  <si>
    <t>ETH_MII_RXD0/ ETH_RMII_RXD0</t>
  </si>
  <si>
    <t>PC5</t>
  </si>
  <si>
    <t>MAC.RXD1</t>
  </si>
  <si>
    <t>TIM1_CH4N</t>
  </si>
  <si>
    <t>PSSI_D15</t>
  </si>
  <si>
    <t>SAI1_FS_A</t>
  </si>
  <si>
    <t>UART12_RTS</t>
  </si>
  <si>
    <t>ETH_MII_RXD1/ ETH_RMII_RXD1</t>
  </si>
  <si>
    <t>PC6</t>
  </si>
  <si>
    <t>TIM8_CH1</t>
  </si>
  <si>
    <t>I2S2_MCK</t>
  </si>
  <si>
    <t>SAI1_SCK_A</t>
  </si>
  <si>
    <t>USART6_TX</t>
  </si>
  <si>
    <t>SDMMC1_D0DIR</t>
  </si>
  <si>
    <t>FMC_NWAIT</t>
  </si>
  <si>
    <t>SDMMC2_D6</t>
  </si>
  <si>
    <t>SDMMC1_D6</t>
  </si>
  <si>
    <t>PC7</t>
  </si>
  <si>
    <t>TRGIO</t>
  </si>
  <si>
    <t>TIM8_CH2</t>
  </si>
  <si>
    <t>I2S3_MCK</t>
  </si>
  <si>
    <t>USART6_RX</t>
  </si>
  <si>
    <t>SDMMC1_D123DIR</t>
  </si>
  <si>
    <t>FMC_NE1</t>
  </si>
  <si>
    <t>SDMMC2_D7</t>
  </si>
  <si>
    <t>SDMMC1_D7</t>
  </si>
  <si>
    <t>PC8</t>
  </si>
  <si>
    <t>TRACED1</t>
  </si>
  <si>
    <t>TIM8_CH3</t>
  </si>
  <si>
    <t>USART6_CK</t>
  </si>
  <si>
    <t>UART5_RTS</t>
  </si>
  <si>
    <t>FMC_NE2/FMC_NCE</t>
  </si>
  <si>
    <t>FMC_INT</t>
  </si>
  <si>
    <t>FMC_ALE</t>
  </si>
  <si>
    <t>PC9</t>
  </si>
  <si>
    <t>MCO2</t>
  </si>
  <si>
    <t>TIM8_CH4</t>
  </si>
  <si>
    <t>I2C3_SDA</t>
  </si>
  <si>
    <t>AUDIOCLK</t>
  </si>
  <si>
    <t>UART5_CTS</t>
  </si>
  <si>
    <t>FMC_CLE</t>
  </si>
  <si>
    <t>SDMMC1_D1</t>
  </si>
  <si>
    <t>PD0</t>
  </si>
  <si>
    <t>TGC_RST</t>
  </si>
  <si>
    <t>UART9_CTS</t>
  </si>
  <si>
    <t>FMC_D2/FMC_AD2</t>
  </si>
  <si>
    <t>PD1</t>
  </si>
  <si>
    <t>TX_EN</t>
  </si>
  <si>
    <t>FMC_D3/FMC_AD3</t>
  </si>
  <si>
    <t>PD10</t>
  </si>
  <si>
    <t>LPTIM2_CH2</t>
  </si>
  <si>
    <t>FMC_D15/FMC_AD15</t>
  </si>
  <si>
    <t>PD11</t>
  </si>
  <si>
    <t>FMC_A16/FMC_CLE</t>
  </si>
  <si>
    <t>PD12</t>
  </si>
  <si>
    <t>TX_PWM_A</t>
  </si>
  <si>
    <t>SAI2_FS_A</t>
  </si>
  <si>
    <t>FMC_A17/FMC_ALE</t>
  </si>
  <si>
    <t>DCMI_D12/PSSI_D12</t>
  </si>
  <si>
    <t>PD13</t>
  </si>
  <si>
    <t>SAI2_SCK_A</t>
  </si>
  <si>
    <t>UART9_RTS</t>
  </si>
  <si>
    <t>FMC_A18</t>
  </si>
  <si>
    <t>DCMI_D13/PSSI_D13</t>
  </si>
  <si>
    <t>LPTIM4_IN1</t>
  </si>
  <si>
    <t>PD14</t>
  </si>
  <si>
    <t>TX_PWM_B</t>
  </si>
  <si>
    <t>UART8_CTS</t>
  </si>
  <si>
    <t>UART9_RX</t>
  </si>
  <si>
    <t>FMC_D0/FMC_AD0</t>
  </si>
  <si>
    <t>PD15</t>
  </si>
  <si>
    <t>UART8_RTS</t>
  </si>
  <si>
    <t>UART9_TX</t>
  </si>
  <si>
    <t>FMC_D1/FMC_AD1</t>
  </si>
  <si>
    <t>PD2</t>
  </si>
  <si>
    <t>TX_2X_ATT</t>
  </si>
  <si>
    <t>TRACED2</t>
  </si>
  <si>
    <t>TIM3_ETR</t>
  </si>
  <si>
    <t>LPTIM4_ETR</t>
  </si>
  <si>
    <t>PD3</t>
  </si>
  <si>
    <t>TX_10X_ATT</t>
  </si>
  <si>
    <t>USART2_CTS/USART2_NSS</t>
  </si>
  <si>
    <t>FMC_CLK</t>
  </si>
  <si>
    <t>PD4</t>
  </si>
  <si>
    <t>GPIO1</t>
  </si>
  <si>
    <t>PD5</t>
  </si>
  <si>
    <t>PD6</t>
  </si>
  <si>
    <t>PD7</t>
  </si>
  <si>
    <t>FMC_NE1/FMC_NCE</t>
  </si>
  <si>
    <t>LPTIM4_OUT</t>
  </si>
  <si>
    <t>PD8</t>
  </si>
  <si>
    <t>FMC_D13/FMC_AD13</t>
  </si>
  <si>
    <t>PD9</t>
  </si>
  <si>
    <t>FMC_D14/FMC_AD14</t>
  </si>
  <si>
    <t>PE0</t>
  </si>
  <si>
    <t>LPTIM1_ETR</t>
  </si>
  <si>
    <t>TIM4_ETR</t>
  </si>
  <si>
    <t>UART8_RX</t>
  </si>
  <si>
    <t>SAI2_MCLK_A</t>
  </si>
  <si>
    <t>FMC_NBL0</t>
  </si>
  <si>
    <t>PE1</t>
  </si>
  <si>
    <t>UART8_TX</t>
  </si>
  <si>
    <t>PE10</t>
  </si>
  <si>
    <t>OCTOSPI1.IO7</t>
  </si>
  <si>
    <t>UART12_TX</t>
  </si>
  <si>
    <t>UART7_CTS</t>
  </si>
  <si>
    <t>FMC_D7/FMC_AD7</t>
  </si>
  <si>
    <t>PE11</t>
  </si>
  <si>
    <t>OCTOSPI1.NCS</t>
  </si>
  <si>
    <t>SPI4_NSS</t>
  </si>
  <si>
    <t>FMC_D8/FMC_AD8</t>
  </si>
  <si>
    <t>PE12</t>
  </si>
  <si>
    <t>SPI4_SCK</t>
  </si>
  <si>
    <t>FMC_D9/FMC_AD9</t>
  </si>
  <si>
    <t>PE13</t>
  </si>
  <si>
    <t>SPI4_MISO</t>
  </si>
  <si>
    <t>SAI2_FS_B-</t>
  </si>
  <si>
    <t>FMC_D10/FMC_AD10</t>
  </si>
  <si>
    <t>PE14</t>
  </si>
  <si>
    <t>SPI4_MOSI</t>
  </si>
  <si>
    <t>SAI2_MCLK_B-</t>
  </si>
  <si>
    <t>FMC_D11/FMC_AD11</t>
  </si>
  <si>
    <t>PE15</t>
  </si>
  <si>
    <t>USART10_CK</t>
  </si>
  <si>
    <t>FMC_D12/FMC_AD12</t>
  </si>
  <si>
    <t>PE2</t>
  </si>
  <si>
    <t>OCTOSPI1.IO2</t>
  </si>
  <si>
    <t>TRACECLK</t>
  </si>
  <si>
    <t>USART10_RX</t>
  </si>
  <si>
    <t>FMC_A23</t>
  </si>
  <si>
    <t>PE3</t>
  </si>
  <si>
    <t>USART10_TX</t>
  </si>
  <si>
    <t>FMC_A19</t>
  </si>
  <si>
    <t>PE4</t>
  </si>
  <si>
    <t>SAI1_D2</t>
  </si>
  <si>
    <t>FMC_A20</t>
  </si>
  <si>
    <t>PE5</t>
  </si>
  <si>
    <t>SAI1_CK2</t>
  </si>
  <si>
    <t>FMC_A21</t>
  </si>
  <si>
    <t>PE6</t>
  </si>
  <si>
    <t>TIM1_BKIN2</t>
  </si>
  <si>
    <t>FMC_A22</t>
  </si>
  <si>
    <t>PE7</t>
  </si>
  <si>
    <t>FMC_D4/FMC_AD4</t>
  </si>
  <si>
    <t>PE8</t>
  </si>
  <si>
    <t>OCTOSPI1.IO5</t>
  </si>
  <si>
    <t>FMC_D5/FMC_AD5</t>
  </si>
  <si>
    <t>PE9</t>
  </si>
  <si>
    <t>OCTOSPI1.IO6</t>
  </si>
  <si>
    <t>UART12_RX</t>
  </si>
  <si>
    <t>UART7_RTS</t>
  </si>
  <si>
    <t>FMC_D6/FMC_AD6</t>
  </si>
  <si>
    <t>PF0</t>
  </si>
  <si>
    <t>FMC_A0</t>
  </si>
  <si>
    <t>LPTIM5_CH1</t>
  </si>
  <si>
    <t>PF1</t>
  </si>
  <si>
    <t>FMC_A1</t>
  </si>
  <si>
    <t>LPTIM5_CH2</t>
  </si>
  <si>
    <t>PF10</t>
  </si>
  <si>
    <t>PF11</t>
  </si>
  <si>
    <t>VTHERM</t>
  </si>
  <si>
    <t>SPI5_MOSI</t>
  </si>
  <si>
    <t>FMC_NRAS</t>
  </si>
  <si>
    <t>LPTIM6_CH1</t>
  </si>
  <si>
    <t>PF12</t>
  </si>
  <si>
    <t>VSENSE</t>
  </si>
  <si>
    <t>FMC_A6</t>
  </si>
  <si>
    <t>LPTIM6_CH2</t>
  </si>
  <si>
    <t>PF13</t>
  </si>
  <si>
    <t>RX_SIG</t>
  </si>
  <si>
    <t>FMC_A7</t>
  </si>
  <si>
    <t>LPTIM6_IN1</t>
  </si>
  <si>
    <t>PF14</t>
  </si>
  <si>
    <t>FMC_A8</t>
  </si>
  <si>
    <t>LPTIM6_IN2</t>
  </si>
  <si>
    <t>PF15</t>
  </si>
  <si>
    <t>FMC_A9</t>
  </si>
  <si>
    <t>PF2</t>
  </si>
  <si>
    <t>FMC_A2</t>
  </si>
  <si>
    <t>LPTIM5_IN1</t>
  </si>
  <si>
    <t>PF3</t>
  </si>
  <si>
    <t>FMC_A3</t>
  </si>
  <si>
    <t>LPTIM5_IN2</t>
  </si>
  <si>
    <t>PF4</t>
  </si>
  <si>
    <t>FMC_A4</t>
  </si>
  <si>
    <t>PF5</t>
  </si>
  <si>
    <t>FMC_A5</t>
  </si>
  <si>
    <t>PF6</t>
  </si>
  <si>
    <t>OCTOSPI1.IO3</t>
  </si>
  <si>
    <t>SPI5_NSS</t>
  </si>
  <si>
    <t>PF7</t>
  </si>
  <si>
    <t>DEBUG_LED</t>
  </si>
  <si>
    <t>SPI5_SCK</t>
  </si>
  <si>
    <t>SAI1_MCLK_B</t>
  </si>
  <si>
    <t>PF8</t>
  </si>
  <si>
    <t>OCTOSPI1.IO0</t>
  </si>
  <si>
    <t>SPI5_MISO</t>
  </si>
  <si>
    <t>SAI1_SCK_B</t>
  </si>
  <si>
    <t>PF9</t>
  </si>
  <si>
    <t>OCTOSPI1.IO1</t>
  </si>
  <si>
    <t>SAI1_FS_B</t>
  </si>
  <si>
    <t>PG0</t>
  </si>
  <si>
    <t>FMC_A10</t>
  </si>
  <si>
    <t>PG1</t>
  </si>
  <si>
    <t>FMC_A11</t>
  </si>
  <si>
    <t>PG10</t>
  </si>
  <si>
    <t>FMC_NE3</t>
  </si>
  <si>
    <t>PG11</t>
  </si>
  <si>
    <t>PG12</t>
  </si>
  <si>
    <t>USART6_RTS</t>
  </si>
  <si>
    <t>FMC_NE4</t>
  </si>
  <si>
    <t>PG13</t>
  </si>
  <si>
    <t>USART10_CTS/USART10_NSS</t>
  </si>
  <si>
    <t>USART6_CTS/USART6_NSS</t>
  </si>
  <si>
    <t>FMC_A24</t>
  </si>
  <si>
    <t>PG14</t>
  </si>
  <si>
    <t>USART10_RTS</t>
  </si>
  <si>
    <t>PG15</t>
  </si>
  <si>
    <t>FMC_NCAS</t>
  </si>
  <si>
    <t>PG2</t>
  </si>
  <si>
    <t>SD0</t>
  </si>
  <si>
    <t>FMC_A12</t>
  </si>
  <si>
    <t>PG3</t>
  </si>
  <si>
    <t>SD1</t>
  </si>
  <si>
    <t>FMC_A13</t>
  </si>
  <si>
    <t>PG4</t>
  </si>
  <si>
    <t>FMC_A14/FMC_BA0</t>
  </si>
  <si>
    <t>PG5</t>
  </si>
  <si>
    <t>FMC_A15/FMC_BA1</t>
  </si>
  <si>
    <t>PG6</t>
  </si>
  <si>
    <t>PG7</t>
  </si>
  <si>
    <t>PG8</t>
  </si>
  <si>
    <t>FMC_SDCLK</t>
  </si>
  <si>
    <t>PG9</t>
  </si>
  <si>
    <t>PH0(OSC_IN)</t>
  </si>
  <si>
    <t>OSC_IN</t>
  </si>
  <si>
    <t>PH1(OSC_OUT)</t>
  </si>
  <si>
    <t>OSC_OUT</t>
  </si>
  <si>
    <t>PH10</t>
  </si>
  <si>
    <t>SPI5_RDY</t>
  </si>
  <si>
    <t>PH11</t>
  </si>
  <si>
    <t>I2C4.SCL</t>
  </si>
  <si>
    <t>PH12</t>
  </si>
  <si>
    <t>I2C4.SDA</t>
  </si>
  <si>
    <t>PH13</t>
  </si>
  <si>
    <t>PH14</t>
  </si>
  <si>
    <t>PH15</t>
  </si>
  <si>
    <t>PH2</t>
  </si>
  <si>
    <t>OCTOSPI1.IO4</t>
  </si>
  <si>
    <t>PH3</t>
  </si>
  <si>
    <t>PH4</t>
  </si>
  <si>
    <t>SPI6_RDY</t>
  </si>
  <si>
    <t>PH5</t>
  </si>
  <si>
    <t>SPI5.NSS</t>
  </si>
  <si>
    <t>PH6</t>
  </si>
  <si>
    <t>SPI5.SCK</t>
  </si>
  <si>
    <t>PH7</t>
  </si>
  <si>
    <t>SPI5.MISO</t>
  </si>
  <si>
    <t>PH8</t>
  </si>
  <si>
    <t>SPI5.MOSI</t>
  </si>
  <si>
    <t>PH9</t>
  </si>
  <si>
    <t>PHY_nRST</t>
  </si>
  <si>
    <t>PI0</t>
  </si>
  <si>
    <t>MOTOR_DIR</t>
  </si>
  <si>
    <t>PI1</t>
  </si>
  <si>
    <t>MOTOR_EN</t>
  </si>
  <si>
    <t>PI10</t>
  </si>
  <si>
    <t>PI11</t>
  </si>
  <si>
    <t>PI2</t>
  </si>
  <si>
    <t>MOTOR_nSLEEP</t>
  </si>
  <si>
    <t>PI3</t>
  </si>
  <si>
    <t>MOTOR_MODE0</t>
  </si>
  <si>
    <t>PI4</t>
  </si>
  <si>
    <t>MOTOR_MODE1</t>
  </si>
  <si>
    <t>PI5</t>
  </si>
  <si>
    <t>MOTOR_STEP</t>
  </si>
  <si>
    <t>PI6</t>
  </si>
  <si>
    <t>MOTOR_nFAULT</t>
  </si>
  <si>
    <t>PI7</t>
  </si>
  <si>
    <t>PI8</t>
  </si>
  <si>
    <t>PI9</t>
  </si>
  <si>
    <t>Pin function</t>
  </si>
  <si>
    <t>Order in Data Sheet Table 14</t>
  </si>
  <si>
    <t>Pin Type</t>
  </si>
  <si>
    <t>I/O Structure</t>
  </si>
  <si>
    <t>WLCSP80 SMPS</t>
  </si>
  <si>
    <t>LQFP100 SMPS</t>
  </si>
  <si>
    <t>LQFP144 SMPS</t>
  </si>
  <si>
    <t>UFBGA169 SMPS</t>
  </si>
  <si>
    <t>LQFP176 SMPS</t>
  </si>
  <si>
    <t>UFBGA176+25 SMPS</t>
  </si>
  <si>
    <t>LQFP64</t>
  </si>
  <si>
    <t>LQFP100</t>
  </si>
  <si>
    <t>LQFP144</t>
  </si>
  <si>
    <t>UFBGA169</t>
  </si>
  <si>
    <t>LQFP176</t>
  </si>
  <si>
    <t>UFBGA176+25</t>
  </si>
  <si>
    <t>VFQFPN68</t>
  </si>
  <si>
    <t>Column1</t>
  </si>
  <si>
    <t>BOOT0</t>
  </si>
  <si>
    <t>I</t>
  </si>
  <si>
    <t>B</t>
  </si>
  <si>
    <t>D8</t>
  </si>
  <si>
    <t>B5</t>
  </si>
  <si>
    <t>A5</t>
  </si>
  <si>
    <t>D6</t>
  </si>
  <si>
    <t>I/O</t>
  </si>
  <si>
    <t>RST</t>
  </si>
  <si>
    <t>F8</t>
  </si>
  <si>
    <t>H3</t>
  </si>
  <si>
    <t>K3</t>
  </si>
  <si>
    <t>H4</t>
  </si>
  <si>
    <t>J1</t>
  </si>
  <si>
    <t>ADC12_INP0, ADC12_INN1, TAMP_IN2,TAMP_OUT1, WKUP1</t>
  </si>
  <si>
    <t>FT_at</t>
  </si>
  <si>
    <t>K8</t>
  </si>
  <si>
    <t>P2</t>
  </si>
  <si>
    <t>J4</t>
  </si>
  <si>
    <t>N3</t>
  </si>
  <si>
    <t>ADC12_INP1, TAMP_IN5,TAMP_OUT4</t>
  </si>
  <si>
    <t>FT_aht</t>
  </si>
  <si>
    <t>J7</t>
  </si>
  <si>
    <t>H5</t>
  </si>
  <si>
    <t>L3</t>
  </si>
  <si>
    <t>J5</t>
  </si>
  <si>
    <t>N2</t>
  </si>
  <si>
    <t>ADC12_INP14, TAMP_IN4,TAMP_OUT3, WKUP2</t>
  </si>
  <si>
    <t>FT_hat</t>
  </si>
  <si>
    <t>M8</t>
  </si>
  <si>
    <t>M3</t>
  </si>
  <si>
    <t>ADC12_INP15</t>
  </si>
  <si>
    <t>FT_ah-</t>
  </si>
  <si>
    <t>T10</t>
  </si>
  <si>
    <t>K4</t>
  </si>
  <si>
    <t>N5</t>
  </si>
  <si>
    <t>R2</t>
  </si>
  <si>
    <t>DAC1_OUT1, ADC12_INP18</t>
  </si>
  <si>
    <t>TT_a-</t>
  </si>
  <si>
    <t>R9</t>
  </si>
  <si>
    <t>M4</t>
  </si>
  <si>
    <t>M5</t>
  </si>
  <si>
    <t>L4</t>
  </si>
  <si>
    <t>N4</t>
  </si>
  <si>
    <t>ADC12_INP19, ADC12_INN18, DAC1_OUT2</t>
  </si>
  <si>
    <t>TT_ah-</t>
  </si>
  <si>
    <t>L7</t>
  </si>
  <si>
    <t>R3</t>
  </si>
  <si>
    <t>P4</t>
  </si>
  <si>
    <t>ADC12_INP3</t>
  </si>
  <si>
    <t>H6</t>
  </si>
  <si>
    <t>P5</t>
  </si>
  <si>
    <t>P3</t>
  </si>
  <si>
    <t>ADC12_INP7, ADC12_INN3</t>
  </si>
  <si>
    <t>K6</t>
  </si>
  <si>
    <t>K5</t>
  </si>
  <si>
    <t>R4</t>
  </si>
  <si>
    <t>FT_fh</t>
  </si>
  <si>
    <t>G3</t>
  </si>
  <si>
    <t>E10</t>
  </si>
  <si>
    <t>F15</t>
  </si>
  <si>
    <t>F12</t>
  </si>
  <si>
    <t>UCPD1_DB1</t>
  </si>
  <si>
    <t>FT_d</t>
  </si>
  <si>
    <t>F13</t>
  </si>
  <si>
    <t>E15</t>
  </si>
  <si>
    <t>E11</t>
  </si>
  <si>
    <t>FT_h</t>
  </si>
  <si>
    <t>G5</t>
  </si>
  <si>
    <t>E14</t>
  </si>
  <si>
    <t>D15</t>
  </si>
  <si>
    <t>FT_u</t>
  </si>
  <si>
    <t>E1</t>
  </si>
  <si>
    <t>C13</t>
  </si>
  <si>
    <t>C15</t>
  </si>
  <si>
    <t>C1</t>
  </si>
  <si>
    <t>B13</t>
  </si>
  <si>
    <t>E13</t>
  </si>
  <si>
    <t>B15</t>
  </si>
  <si>
    <t>FT</t>
  </si>
  <si>
    <t>F4</t>
  </si>
  <si>
    <t>D12</t>
  </si>
  <si>
    <t>E12</t>
  </si>
  <si>
    <t>A15</t>
  </si>
  <si>
    <t>E3</t>
  </si>
  <si>
    <t>C10</t>
  </si>
  <si>
    <t>A12</t>
  </si>
  <si>
    <t>A14</t>
  </si>
  <si>
    <t>D4</t>
  </si>
  <si>
    <t>B10</t>
  </si>
  <si>
    <t>B11</t>
  </si>
  <si>
    <t>A13</t>
  </si>
  <si>
    <t>ADC12_INP9, ADC12_INN5</t>
  </si>
  <si>
    <t>R7</t>
  </si>
  <si>
    <t>R5</t>
  </si>
  <si>
    <t>L5</t>
  </si>
  <si>
    <t>ADC12_INP5</t>
  </si>
  <si>
    <t>P6</t>
  </si>
  <si>
    <t>N6</t>
  </si>
  <si>
    <t>LSCO</t>
  </si>
  <si>
    <t>L6</t>
  </si>
  <si>
    <t>M6</t>
  </si>
  <si>
    <t>C5</t>
  </si>
  <si>
    <t>F6</t>
  </si>
  <si>
    <t>B7</t>
  </si>
  <si>
    <t>E6</t>
  </si>
  <si>
    <t>A10</t>
  </si>
  <si>
    <t>B6</t>
  </si>
  <si>
    <t>C7</t>
  </si>
  <si>
    <t>A6</t>
  </si>
  <si>
    <t>A9</t>
  </si>
  <si>
    <t>C6</t>
  </si>
  <si>
    <t>FT_f</t>
  </si>
  <si>
    <t>E7</t>
  </si>
  <si>
    <t>WKUP5</t>
  </si>
  <si>
    <t>FT_fa</t>
  </si>
  <si>
    <t>E9</t>
  </si>
  <si>
    <t>F5</t>
  </si>
  <si>
    <t>E5</t>
  </si>
  <si>
    <t>A4</t>
  </si>
  <si>
    <t>B4</t>
  </si>
  <si>
    <t>K9</t>
  </si>
  <si>
    <t>M10</t>
  </si>
  <si>
    <t>R12</t>
  </si>
  <si>
    <t>L10</t>
  </si>
  <si>
    <t>N12</t>
  </si>
  <si>
    <t>M9</t>
  </si>
  <si>
    <t>R13</t>
  </si>
  <si>
    <t>K11</t>
  </si>
  <si>
    <t>L12</t>
  </si>
  <si>
    <t>P12</t>
  </si>
  <si>
    <t>UCPD1_CC1</t>
  </si>
  <si>
    <t>FT_c-</t>
  </si>
  <si>
    <t>M2</t>
  </si>
  <si>
    <t>K12</t>
  </si>
  <si>
    <t>R15</t>
  </si>
  <si>
    <t>L11</t>
  </si>
  <si>
    <t>P13</t>
  </si>
  <si>
    <t>UCPD1_CC2</t>
  </si>
  <si>
    <t>N1</t>
  </si>
  <si>
    <t>J10</t>
  </si>
  <si>
    <t>N15</t>
  </si>
  <si>
    <t>M13</t>
  </si>
  <si>
    <t>R14</t>
  </si>
  <si>
    <t>PVD_IN</t>
  </si>
  <si>
    <t>L1</t>
  </si>
  <si>
    <t>H10</t>
  </si>
  <si>
    <t>M14</t>
  </si>
  <si>
    <t>ADC12_INP10</t>
  </si>
  <si>
    <t>FT_a-</t>
  </si>
  <si>
    <t>H8</t>
  </si>
  <si>
    <t>J2</t>
  </si>
  <si>
    <t>ADC12_INP11, ADC12_INN10, TAMP_IN3,TAMP_OUT5, WKUP6</t>
  </si>
  <si>
    <t>G7</t>
  </si>
  <si>
    <t>J3</t>
  </si>
  <si>
    <t>L2</t>
  </si>
  <si>
    <t>ADC12_INP12, ADC12_INN11</t>
  </si>
  <si>
    <t>K1</t>
  </si>
  <si>
    <t>ADC12_INP13, ADC12_INN12</t>
  </si>
  <si>
    <t>L9</t>
  </si>
  <si>
    <t>K2</t>
  </si>
  <si>
    <t>ADC12_INP4</t>
  </si>
  <si>
    <t>ADC12_INP8, ADC12_INN4</t>
  </si>
  <si>
    <t>N7</t>
  </si>
  <si>
    <t>F10</t>
  </si>
  <si>
    <t>G14</t>
  </si>
  <si>
    <t>F9</t>
  </si>
  <si>
    <t>H15</t>
  </si>
  <si>
    <t>F11</t>
  </si>
  <si>
    <t>G13</t>
  </si>
  <si>
    <t>G15</t>
  </si>
  <si>
    <t>F14</t>
  </si>
  <si>
    <t>G12</t>
  </si>
  <si>
    <t>UCPD1_DB2</t>
  </si>
  <si>
    <t>F2</t>
  </si>
  <si>
    <t>C3</t>
  </si>
  <si>
    <t>B14</t>
  </si>
  <si>
    <t>C12</t>
  </si>
  <si>
    <t>A11</t>
  </si>
  <si>
    <t>D9</t>
  </si>
  <si>
    <t>C11</t>
  </si>
  <si>
    <t>B9</t>
  </si>
  <si>
    <t>TAMP_IN1,TAMP_OUT2,RTC_OUT1,TAMP_OUT3, WKUP4, RTC_TS</t>
  </si>
  <si>
    <t>FT_t</t>
  </si>
  <si>
    <t>C9</t>
  </si>
  <si>
    <t>E4</t>
  </si>
  <si>
    <t>D1</t>
  </si>
  <si>
    <t>OSC32_IN</t>
  </si>
  <si>
    <t>D10</t>
  </si>
  <si>
    <t>D2</t>
  </si>
  <si>
    <t>B1</t>
  </si>
  <si>
    <t>OSC32_OUT</t>
  </si>
  <si>
    <t>A3</t>
  </si>
  <si>
    <t>B12</t>
  </si>
  <si>
    <t>WKUP7</t>
  </si>
  <si>
    <t>E8</t>
  </si>
  <si>
    <t>WKUP8</t>
  </si>
  <si>
    <t>C8</t>
  </si>
  <si>
    <t>D11</t>
  </si>
  <si>
    <t>A7</t>
  </si>
  <si>
    <t>FT_sh</t>
  </si>
  <si>
    <t>F7</t>
  </si>
  <si>
    <t>B8</t>
  </si>
  <si>
    <t>J11</t>
  </si>
  <si>
    <t>M15</t>
  </si>
  <si>
    <t>P15</t>
  </si>
  <si>
    <t>H9</t>
  </si>
  <si>
    <t>L13</t>
  </si>
  <si>
    <t>J9</t>
  </si>
  <si>
    <t>P14</t>
  </si>
  <si>
    <t>K13</t>
  </si>
  <si>
    <t>L14</t>
  </si>
  <si>
    <t>N14</t>
  </si>
  <si>
    <t>H11</t>
  </si>
  <si>
    <t>K14</t>
  </si>
  <si>
    <t>N13</t>
  </si>
  <si>
    <t>G8</t>
  </si>
  <si>
    <t>L15</t>
  </si>
  <si>
    <t>H12</t>
  </si>
  <si>
    <t>G10</t>
  </si>
  <si>
    <t>J13</t>
  </si>
  <si>
    <t>D5</t>
  </si>
  <si>
    <t>A1</t>
  </si>
  <si>
    <t>A2</t>
  </si>
  <si>
    <t>TAMP_IN6,TAMP_OUT3</t>
  </si>
  <si>
    <t>B2</t>
  </si>
  <si>
    <t>TAMP_IN7,TAMP_OUT8</t>
  </si>
  <si>
    <t>D3</t>
  </si>
  <si>
    <t>TAMP_IN8,TAMP_OUT7</t>
  </si>
  <si>
    <t>C2</t>
  </si>
  <si>
    <t>TAMP_IN3,TAMP_OUT6</t>
  </si>
  <si>
    <t>B3</t>
  </si>
  <si>
    <t>T6</t>
  </si>
  <si>
    <t>N8</t>
  </si>
  <si>
    <t>R8</t>
  </si>
  <si>
    <t>J8</t>
  </si>
  <si>
    <t>P9</t>
  </si>
  <si>
    <t>P8</t>
  </si>
  <si>
    <t>N9</t>
  </si>
  <si>
    <t>L8</t>
  </si>
  <si>
    <t>R10</t>
  </si>
  <si>
    <t>P10</t>
  </si>
  <si>
    <t>R11</t>
  </si>
  <si>
    <t>P11</t>
  </si>
  <si>
    <t>N11</t>
  </si>
  <si>
    <t>N10</t>
  </si>
  <si>
    <t>E2</t>
  </si>
  <si>
    <t>F3</t>
  </si>
  <si>
    <t>F1</t>
  </si>
  <si>
    <t>H2</t>
  </si>
  <si>
    <t>G6</t>
  </si>
  <si>
    <t>G2</t>
  </si>
  <si>
    <t>G1</t>
  </si>
  <si>
    <t>H1</t>
  </si>
  <si>
    <t>G4</t>
  </si>
  <si>
    <t>ADC1_INP2</t>
  </si>
  <si>
    <t>J6</t>
  </si>
  <si>
    <t>R6</t>
  </si>
  <si>
    <t>ADC1_INP6, ADC1_INN2</t>
  </si>
  <si>
    <t>ADC2_INP2</t>
  </si>
  <si>
    <t>H7</t>
  </si>
  <si>
    <t>P7</t>
  </si>
  <si>
    <t>ADC2_INP6, ADC2_INN2</t>
  </si>
  <si>
    <t>FT_fah-</t>
  </si>
  <si>
    <t>K7</t>
  </si>
  <si>
    <t>M7</t>
  </si>
  <si>
    <t>H13</t>
  </si>
  <si>
    <t>K15</t>
  </si>
  <si>
    <t>J12</t>
  </si>
  <si>
    <t>G9</t>
  </si>
  <si>
    <t>H14</t>
  </si>
  <si>
    <t>G11</t>
  </si>
  <si>
    <t>J15</t>
  </si>
  <si>
    <t>J14</t>
  </si>
  <si>
    <t>A8</t>
  </si>
  <si>
    <t>D7</t>
  </si>
  <si>
    <t>K10</t>
  </si>
  <si>
    <t>R1</t>
  </si>
  <si>
    <t>P1</t>
  </si>
  <si>
    <t>FT-</t>
  </si>
  <si>
    <t>M11</t>
  </si>
  <si>
    <t>M12</t>
  </si>
  <si>
    <t>D13</t>
  </si>
  <si>
    <t>C14</t>
  </si>
  <si>
    <t>D14</t>
  </si>
  <si>
    <t>C4</t>
  </si>
  <si>
    <t>TAMP_IN2,TAMP_OUT3, WKUP3, RTC_OUT2</t>
  </si>
  <si>
    <t>TAMP_IN4,TAMP_OUT5</t>
  </si>
  <si>
    <t>VBAT</t>
  </si>
  <si>
    <t>S</t>
  </si>
  <si>
    <t>VCAP</t>
  </si>
  <si>
    <t>T2</t>
  </si>
  <si>
    <t>VDD</t>
  </si>
  <si>
    <t>M1</t>
  </si>
  <si>
    <t>T8</t>
  </si>
  <si>
    <t>VDDA</t>
  </si>
  <si>
    <t>VDDIO2</t>
  </si>
  <si>
    <t>VDDSMPS</t>
  </si>
  <si>
    <t>VDDUSB</t>
  </si>
  <si>
    <t>VLXSMPS</t>
  </si>
  <si>
    <t>T4</t>
  </si>
  <si>
    <t>VREF-</t>
  </si>
  <si>
    <t>VREF+</t>
  </si>
  <si>
    <t>VSS</t>
  </si>
  <si>
    <t>--</t>
  </si>
  <si>
    <t>VSSA</t>
  </si>
  <si>
    <t>VSSSMPS</t>
  </si>
  <si>
    <t>169 pin BGA wihtout SMPS</t>
  </si>
  <si>
    <t>Bidirectional</t>
  </si>
  <si>
    <t>Line</t>
  </si>
  <si>
    <t>Left</t>
  </si>
  <si>
    <t>38.1 mm</t>
  </si>
  <si>
    <t>71.12 mm</t>
  </si>
  <si>
    <t>Right</t>
  </si>
  <si>
    <t>-35.56 mm</t>
  </si>
  <si>
    <t>-71.12 mm</t>
  </si>
  <si>
    <t>Power input</t>
  </si>
  <si>
    <t>Down</t>
  </si>
  <si>
    <t>-12.7 mm</t>
  </si>
  <si>
    <t>-114.3 mm</t>
  </si>
  <si>
    <t>-40.64 mm</t>
  </si>
  <si>
    <t>-48.26 mm</t>
  </si>
  <si>
    <t>-53.34 mm</t>
  </si>
  <si>
    <t>17.78 mm</t>
  </si>
  <si>
    <t>5.08 mm</t>
  </si>
  <si>
    <t>30.48 mm</t>
  </si>
  <si>
    <t>-10.16 mm</t>
  </si>
  <si>
    <t>7.62 mm</t>
  </si>
  <si>
    <t>-81.28 mm</t>
  </si>
  <si>
    <t>15.24 mm</t>
  </si>
  <si>
    <t>73.66 mm</t>
  </si>
  <si>
    <t>Up</t>
  </si>
  <si>
    <t>0 mm</t>
  </si>
  <si>
    <t>114.3 mm</t>
  </si>
  <si>
    <t>Power output</t>
  </si>
  <si>
    <t>66.04 mm</t>
  </si>
  <si>
    <t>Input</t>
  </si>
  <si>
    <t>-101.6 mm</t>
  </si>
  <si>
    <t>Passive</t>
  </si>
  <si>
    <t>40.64 mm</t>
  </si>
  <si>
    <t>10.16 mm</t>
  </si>
  <si>
    <t>-68.58 mm</t>
  </si>
  <si>
    <t>-83.82 mm</t>
  </si>
  <si>
    <t>-86.36 mm</t>
  </si>
  <si>
    <t>78.74 mm</t>
  </si>
  <si>
    <t>-73.66 mm</t>
  </si>
  <si>
    <t>-76.2 mm</t>
  </si>
  <si>
    <t>-50.8 mm</t>
  </si>
  <si>
    <t>27.94 mm</t>
  </si>
  <si>
    <t>-78.74 mm</t>
  </si>
  <si>
    <t>-7.62 mm</t>
  </si>
  <si>
    <t>-5.08 mm</t>
  </si>
  <si>
    <t>81.28 mm</t>
  </si>
  <si>
    <t>76.2 mm</t>
  </si>
  <si>
    <t>68.58 mm</t>
  </si>
  <si>
    <t>-45.72 mm</t>
  </si>
  <si>
    <t>12.7 mm</t>
  </si>
  <si>
    <t>35.56 mm</t>
  </si>
  <si>
    <t>22.86 mm</t>
  </si>
  <si>
    <t>-27.94 mm</t>
  </si>
  <si>
    <t>-25.4 mm</t>
  </si>
  <si>
    <t>-30.48 mm</t>
  </si>
  <si>
    <t>20.32 mm</t>
  </si>
  <si>
    <t>25.4 mm</t>
  </si>
  <si>
    <t>-15.24 mm</t>
  </si>
  <si>
    <t>-43.18 mm</t>
  </si>
  <si>
    <t>-55.88 mm</t>
  </si>
  <si>
    <t>33.02 mm</t>
  </si>
  <si>
    <t>-66.04 mm</t>
  </si>
  <si>
    <t>2.54 mm</t>
  </si>
  <si>
    <t>-2.54 mm</t>
  </si>
  <si>
    <t>43.18 mm</t>
  </si>
  <si>
    <t>48.26 mm</t>
  </si>
  <si>
    <t>86.36 mm</t>
  </si>
  <si>
    <t>-60.96 mm</t>
  </si>
  <si>
    <t>-58.42 mm</t>
  </si>
  <si>
    <t>45.72 mm</t>
  </si>
  <si>
    <t>-106.68 mm</t>
  </si>
  <si>
    <t>55.88 mm</t>
  </si>
  <si>
    <t>91.44 mm</t>
  </si>
  <si>
    <t>60.96 mm</t>
  </si>
  <si>
    <t>50.8 mm</t>
  </si>
  <si>
    <t>58.42 mm</t>
  </si>
  <si>
    <t>-20.32 mm</t>
  </si>
  <si>
    <t>-17.78 mm</t>
  </si>
  <si>
    <t>-104.14 mm</t>
  </si>
  <si>
    <t>101.6 mm</t>
  </si>
  <si>
    <t>-91.44 mm</t>
  </si>
  <si>
    <t>-93.98 mm</t>
  </si>
  <si>
    <t>-88.9 mm</t>
  </si>
  <si>
    <t>96.52 mm</t>
  </si>
  <si>
    <t>-38.1 mm</t>
  </si>
  <si>
    <t>-33.02 mm</t>
  </si>
  <si>
    <t>53.34 mm</t>
  </si>
  <si>
    <t>-96.52 mm</t>
  </si>
  <si>
    <t>-63.5 mm</t>
  </si>
  <si>
    <t>88.9 mm</t>
  </si>
  <si>
    <t>99.06 mm</t>
  </si>
  <si>
    <t>93.98 mm</t>
  </si>
  <si>
    <t>-99.06 mm</t>
  </si>
  <si>
    <t>83.82 mm</t>
  </si>
  <si>
    <t>104.14 mm</t>
  </si>
  <si>
    <t>OCTOSPI1.CLK-</t>
  </si>
  <si>
    <t>OCTOSPI1.RST</t>
  </si>
  <si>
    <t>OCTOSPI1.CLK+</t>
  </si>
  <si>
    <t>VTX_EN</t>
  </si>
  <si>
    <t>VTX_MODE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</si>
</sst>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Arial"/>
    </font>
    <font>
      <b/>
      <sz val="10"/>
      <color theme="1"/>
      <name val="Arial"/>
    </font>
    <font>
      <i/>
      <sz val="10"/>
      <color theme="1"/>
      <name val="Arial"/>
    </font>
    <font>
      <b/>
      <sz val="24"/>
      <color theme="1"/>
      <name val="Arial"/>
    </font>
    <font>
      <u/>
      <sz val="10"/>
      <color theme="1"/>
      <name val="Arial"/>
    </font>
    <font>
      <b/>
      <i/>
      <u/>
      <sz val="10"/>
      <color theme="1"/>
      <name val="Arial"/>
    </font>
    <font>
      <b/>
      <sz val="11"/>
      <color theme="1"/>
      <name val="Arial"/>
    </font>
    <font>
      <b/>
      <sz val="9"/>
      <color theme="1"/>
      <name val="Arial"/>
    </font>
    <font>
      <sz val="1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1D1D1"/>
      </patternFill>
    </fill>
    <fill>
      <patternFill patternType="solid">
        <fgColor rgb="FFCC0000"/>
        <bgColor rgb="FF800000"/>
      </patternFill>
    </fill>
    <fill>
      <patternFill patternType="solid">
        <fgColor theme="3" tint="0.74987029633472702"/>
        <bgColor rgb="FF96DCF8"/>
      </patternFill>
    </fill>
    <fill>
      <patternFill patternType="solid">
        <fgColor theme="0"/>
        <bgColor rgb="FFFFFFCC"/>
      </patternFill>
    </fill>
    <fill>
      <patternFill patternType="solid">
        <fgColor theme="7" tint="0.59987182226020086"/>
        <bgColor rgb="FFA6CAEC"/>
      </patternFill>
    </fill>
    <fill>
      <patternFill patternType="solid">
        <fgColor theme="4" tint="0.59987182226020086"/>
        <bgColor rgb="FF96DCF8"/>
      </patternFill>
    </fill>
    <fill>
      <patternFill patternType="solid">
        <fgColor theme="9" tint="0.79989013336588644"/>
        <bgColor rgb="FFDDDDD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4">
    <xf numFmtId="0" fontId="0" fillId="0" borderId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1" fillId="0" borderId="0" applyBorder="0" applyProtection="0"/>
    <xf numFmtId="0" fontId="8" fillId="0" borderId="0" applyBorder="0" applyProtection="0"/>
    <xf numFmtId="0" fontId="1" fillId="5" borderId="0" applyBorder="0" applyProtection="0"/>
    <xf numFmtId="0" fontId="2" fillId="0" borderId="0" applyBorder="0" applyProtection="0"/>
    <xf numFmtId="0" fontId="3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8" fillId="0" borderId="0" applyBorder="0" applyProtection="0"/>
    <xf numFmtId="0" fontId="8" fillId="0" borderId="0" applyBorder="0" applyProtection="0"/>
    <xf numFmtId="0" fontId="8" fillId="0" borderId="0" applyBorder="0" applyProtection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6" fillId="6" borderId="1" xfId="5" applyFont="1" applyFill="1" applyBorder="1" applyAlignment="1" applyProtection="1">
      <alignment horizontal="center" vertical="center"/>
    </xf>
    <xf numFmtId="0" fontId="1" fillId="6" borderId="1" xfId="5" applyFont="1" applyFill="1" applyBorder="1" applyAlignment="1" applyProtection="1">
      <alignment horizontal="left" vertical="center"/>
    </xf>
    <xf numFmtId="0" fontId="7" fillId="6" borderId="1" xfId="5" applyFont="1" applyFill="1" applyBorder="1" applyAlignment="1" applyProtection="1">
      <alignment horizontal="center" vertical="center"/>
    </xf>
    <xf numFmtId="0" fontId="8" fillId="0" borderId="0" xfId="5" applyBorder="1" applyProtection="1"/>
    <xf numFmtId="0" fontId="8" fillId="0" borderId="0" xfId="5" applyBorder="1" applyAlignment="1" applyProtection="1">
      <alignment horizontal="left" vertical="center"/>
    </xf>
    <xf numFmtId="0" fontId="8" fillId="0" borderId="0" xfId="5" applyBorder="1" applyAlignment="1" applyProtection="1">
      <alignment horizontal="center" vertical="center"/>
    </xf>
    <xf numFmtId="0" fontId="8" fillId="7" borderId="0" xfId="5" applyFill="1" applyBorder="1" applyProtection="1"/>
    <xf numFmtId="0" fontId="8" fillId="8" borderId="0" xfId="5" applyFill="1" applyBorder="1" applyProtection="1"/>
    <xf numFmtId="0" fontId="8" fillId="7" borderId="0" xfId="5" applyFill="1" applyBorder="1" applyAlignment="1" applyProtection="1">
      <alignment horizontal="left" vertical="center"/>
    </xf>
    <xf numFmtId="0" fontId="8" fillId="9" borderId="0" xfId="5" applyFill="1" applyBorder="1" applyProtection="1"/>
    <xf numFmtId="0" fontId="8" fillId="8" borderId="0" xfId="5" applyFill="1" applyBorder="1" applyAlignment="1" applyProtection="1">
      <alignment horizontal="center" vertical="center"/>
    </xf>
    <xf numFmtId="0" fontId="8" fillId="8" borderId="0" xfId="5" applyFill="1" applyBorder="1" applyAlignment="1" applyProtection="1">
      <alignment horizontal="center"/>
    </xf>
    <xf numFmtId="0" fontId="8" fillId="10" borderId="0" xfId="5" applyFill="1" applyBorder="1" applyProtection="1"/>
    <xf numFmtId="0" fontId="8" fillId="0" borderId="0" xfId="5" applyBorder="1" applyProtection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7" borderId="0" xfId="5" applyFill="1" applyBorder="1" applyProtection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9" borderId="0" xfId="5" applyFill="1" applyBorder="1" applyAlignment="1" applyProtection="1">
      <alignment horizontal="center"/>
    </xf>
  </cellXfs>
  <cellStyles count="14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Default 8" xfId="5" xr:uid="{00000000-0005-0000-0000-00000A000000}"/>
    <cellStyle name="Error 9" xfId="6" xr:uid="{00000000-0005-0000-0000-00000B000000}"/>
    <cellStyle name="Footnote 10" xfId="7" xr:uid="{00000000-0005-0000-0000-00000C000000}"/>
    <cellStyle name="Heading 11" xfId="8" xr:uid="{00000000-0005-0000-0000-00000D000000}"/>
    <cellStyle name="Hyperlink 12" xfId="9" xr:uid="{00000000-0005-0000-0000-00000E000000}"/>
    <cellStyle name="Normal" xfId="0" builtinId="0"/>
    <cellStyle name="Result 13" xfId="10" xr:uid="{00000000-0005-0000-0000-00000F000000}"/>
    <cellStyle name="Status 14" xfId="11" xr:uid="{00000000-0005-0000-0000-000010000000}"/>
    <cellStyle name="Text 15" xfId="12" xr:uid="{00000000-0005-0000-0000-000011000000}"/>
    <cellStyle name="Warning 16" xfId="13" xr:uid="{00000000-0005-0000-0000-000012000000}"/>
  </cellStyles>
  <dxfs count="6">
    <dxf>
      <font>
        <strike val="0"/>
        <color theme="1"/>
      </font>
      <fill>
        <patternFill>
          <bgColor theme="2" tint="-9.9948118533890809E-2"/>
        </patternFill>
      </fill>
    </dxf>
    <dxf>
      <font>
        <strike val="0"/>
        <color theme="1"/>
      </font>
      <fill>
        <patternFill>
          <bgColor theme="2" tint="-9.9948118533890809E-2"/>
        </patternFill>
      </fill>
    </dxf>
    <dxf>
      <font>
        <strike val="0"/>
        <color theme="1"/>
      </font>
      <fill>
        <patternFill>
          <bgColor theme="2" tint="-9.9948118533890809E-2"/>
        </patternFill>
      </fill>
    </dxf>
    <dxf>
      <font>
        <color rgb="FF000000"/>
        <name val="Arial"/>
      </font>
      <fill>
        <patternFill>
          <bgColor theme="2" tint="-9.9978637043366805E-2"/>
        </patternFill>
      </fill>
    </dxf>
    <dxf>
      <font>
        <color rgb="FF000000"/>
        <name val="Arial"/>
      </font>
      <fill>
        <patternFill>
          <bgColor theme="2" tint="-9.9978637043366805E-2"/>
        </patternFill>
      </fill>
    </dxf>
    <dxf>
      <font>
        <color rgb="FF000000"/>
        <name val="Arial"/>
      </font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83CBEB"/>
      <rgbColor rgb="FF993366"/>
      <rgbColor rgb="FFFFFFCC"/>
      <rgbColor rgb="FF96DCF8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3"/>
  <sheetViews>
    <sheetView tabSelected="1" topLeftCell="A117" zoomScale="86" zoomScaleNormal="86" workbookViewId="0">
      <selection activeCell="D137" sqref="D137"/>
    </sheetView>
  </sheetViews>
  <sheetFormatPr defaultColWidth="11.6640625" defaultRowHeight="12" customHeight="1" x14ac:dyDescent="0.25"/>
  <cols>
    <col min="1" max="1" width="9.21875" customWidth="1"/>
    <col min="2" max="2" width="10" style="1" customWidth="1"/>
    <col min="3" max="3" width="9.6640625" style="2" customWidth="1"/>
    <col min="4" max="4" width="25.21875" style="2" customWidth="1"/>
    <col min="5" max="5" width="12.77734375" style="2" customWidth="1"/>
    <col min="6" max="6" width="79.21875" customWidth="1"/>
    <col min="7" max="7" width="17.21875" customWidth="1"/>
    <col min="8" max="8" width="12.44140625" customWidth="1"/>
    <col min="9" max="9" width="12.33203125" customWidth="1"/>
    <col min="10" max="10" width="16.44140625" customWidth="1"/>
    <col min="11" max="11" width="12.44140625" customWidth="1"/>
    <col min="12" max="12" width="20.33203125" customWidth="1"/>
    <col min="13" max="13" width="20.77734375" customWidth="1"/>
    <col min="14" max="14" width="25.88671875" customWidth="1"/>
    <col min="15" max="15" width="17.77734375" customWidth="1"/>
    <col min="16" max="16" width="19.109375" customWidth="1"/>
    <col min="17" max="17" width="15.6640625" customWidth="1"/>
    <col min="18" max="18" width="34.5546875" customWidth="1"/>
    <col min="19" max="19" width="19.6640625" customWidth="1"/>
    <col min="20" max="20" width="20.5546875" customWidth="1"/>
    <col min="21" max="21" width="12.6640625" customWidth="1"/>
    <col min="22" max="22" width="17.33203125" customWidth="1"/>
    <col min="23" max="23" width="56" customWidth="1"/>
    <col min="24" max="29" width="49.21875" customWidth="1"/>
  </cols>
  <sheetData>
    <row r="1" spans="1:23" s="3" customFormat="1" ht="24" customHeight="1" x14ac:dyDescent="0.25">
      <c r="A1" s="3" t="s">
        <v>0</v>
      </c>
      <c r="B1" s="4" t="s">
        <v>1</v>
      </c>
      <c r="C1" s="5" t="str">
        <f>Pinouts!O4</f>
        <v>UFBGA169</v>
      </c>
      <c r="D1" s="5" t="s">
        <v>2</v>
      </c>
      <c r="E1" s="5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</row>
    <row r="2" spans="1:23" s="6" customFormat="1" ht="13.2" x14ac:dyDescent="0.25">
      <c r="A2" s="16" t="b">
        <f>FALSE()</f>
        <v>0</v>
      </c>
      <c r="B2" s="7" t="s">
        <v>22</v>
      </c>
      <c r="C2" s="8" t="str">
        <f>IFERROR(VLOOKUP($B2,Pinouts!$A$4:$R$227,15,FALSE()),"")</f>
        <v/>
      </c>
      <c r="D2" s="8"/>
      <c r="E2" s="8" t="s">
        <v>23</v>
      </c>
      <c r="F2" s="6" t="str">
        <f>IFERROR(VLOOKUP($B2,Pinouts!$A$5:$R$227,3,FALSE()),"")</f>
        <v/>
      </c>
      <c r="G2" s="6" t="s">
        <v>23</v>
      </c>
      <c r="H2" s="6" t="s">
        <v>23</v>
      </c>
      <c r="I2" s="6" t="s">
        <v>23</v>
      </c>
      <c r="J2" s="6" t="s">
        <v>23</v>
      </c>
      <c r="K2" s="6" t="s">
        <v>23</v>
      </c>
      <c r="L2" s="6" t="s">
        <v>23</v>
      </c>
      <c r="M2" s="6" t="s">
        <v>23</v>
      </c>
      <c r="N2" s="6" t="s">
        <v>23</v>
      </c>
      <c r="O2" s="6" t="s">
        <v>23</v>
      </c>
      <c r="P2" s="6" t="s">
        <v>23</v>
      </c>
      <c r="Q2" s="6" t="s">
        <v>23</v>
      </c>
      <c r="R2" s="6" t="s">
        <v>23</v>
      </c>
      <c r="S2" s="6" t="s">
        <v>23</v>
      </c>
      <c r="T2" s="6" t="s">
        <v>23</v>
      </c>
      <c r="U2" s="6" t="s">
        <v>23</v>
      </c>
      <c r="V2" s="6" t="s">
        <v>23</v>
      </c>
    </row>
    <row r="3" spans="1:23" s="9" customFormat="1" ht="13.2" x14ac:dyDescent="0.25">
      <c r="A3" s="16" t="b">
        <f>TRUE()</f>
        <v>1</v>
      </c>
      <c r="B3" s="7" t="s">
        <v>24</v>
      </c>
      <c r="C3" s="8" t="str">
        <f>IFERROR(VLOOKUP($B3,Pinouts!$A$4:$R$227,9,FALSE()),"")</f>
        <v>H3</v>
      </c>
      <c r="D3" s="8" t="s">
        <v>25</v>
      </c>
      <c r="E3" s="8" t="s">
        <v>23</v>
      </c>
      <c r="F3" s="6">
        <f>IFERROR(VLOOKUP($B3,Pinouts!$A$5:$R$227,3,FALSE()),"")</f>
        <v>0</v>
      </c>
      <c r="G3" s="6" t="s">
        <v>23</v>
      </c>
      <c r="H3" s="6" t="s">
        <v>23</v>
      </c>
      <c r="I3" s="6" t="s">
        <v>23</v>
      </c>
      <c r="J3" s="6" t="s">
        <v>23</v>
      </c>
      <c r="K3" s="6" t="s">
        <v>23</v>
      </c>
      <c r="L3" s="6" t="s">
        <v>23</v>
      </c>
      <c r="M3" s="6" t="s">
        <v>23</v>
      </c>
      <c r="N3" s="6" t="s">
        <v>23</v>
      </c>
      <c r="O3" s="6" t="s">
        <v>23</v>
      </c>
      <c r="P3" s="6" t="s">
        <v>23</v>
      </c>
      <c r="Q3" s="6" t="s">
        <v>23</v>
      </c>
      <c r="R3" s="6" t="s">
        <v>23</v>
      </c>
      <c r="S3" s="6" t="s">
        <v>23</v>
      </c>
      <c r="T3" s="6" t="s">
        <v>23</v>
      </c>
      <c r="U3" s="6" t="s">
        <v>23</v>
      </c>
      <c r="V3" s="6" t="s">
        <v>23</v>
      </c>
      <c r="W3" s="6"/>
    </row>
    <row r="4" spans="1:23" s="9" customFormat="1" ht="13.2" x14ac:dyDescent="0.25">
      <c r="A4" s="16" t="b">
        <f>FALSE()</f>
        <v>0</v>
      </c>
      <c r="B4" s="7" t="s">
        <v>26</v>
      </c>
      <c r="C4" s="8" t="str">
        <f>IFERROR(VLOOKUP($B4,Pinouts!$A$4:$R$227,9,FALSE()),"")</f>
        <v>K3</v>
      </c>
      <c r="D4" s="8"/>
      <c r="E4" s="8" t="s">
        <v>3</v>
      </c>
      <c r="F4" s="12" t="str">
        <f>IFERROR(VLOOKUP($B4,Pinouts!$A$5:$R$227,3,FALSE()),"")</f>
        <v>ADC12_INP0, ADC12_INN1, TAMP_IN2,TAMP_OUT1, WKUP1</v>
      </c>
      <c r="G4" s="6"/>
      <c r="H4" s="6"/>
      <c r="I4" s="6" t="s">
        <v>27</v>
      </c>
      <c r="J4" s="6" t="s">
        <v>28</v>
      </c>
      <c r="K4" s="6" t="s">
        <v>29</v>
      </c>
      <c r="L4" s="6" t="s">
        <v>30</v>
      </c>
      <c r="M4" s="6" t="s">
        <v>31</v>
      </c>
      <c r="N4" s="6" t="s">
        <v>32</v>
      </c>
      <c r="O4" s="6" t="s">
        <v>33</v>
      </c>
      <c r="P4" s="6" t="s">
        <v>34</v>
      </c>
      <c r="Q4" s="6" t="s">
        <v>35</v>
      </c>
      <c r="R4" s="6" t="s">
        <v>36</v>
      </c>
      <c r="S4" s="6" t="s">
        <v>23</v>
      </c>
      <c r="T4" s="6" t="s">
        <v>23</v>
      </c>
      <c r="U4" s="6" t="s">
        <v>37</v>
      </c>
      <c r="V4" s="6" t="s">
        <v>38</v>
      </c>
      <c r="W4" s="6"/>
    </row>
    <row r="5" spans="1:23" s="6" customFormat="1" ht="13.2" x14ac:dyDescent="0.25">
      <c r="A5" s="17" t="b">
        <f>TRUE()</f>
        <v>1</v>
      </c>
      <c r="B5" s="11" t="s">
        <v>39</v>
      </c>
      <c r="C5" s="8" t="str">
        <f>IFERROR(VLOOKUP($B5,Pinouts!$A$4:$R$227,9,FALSE()),"")</f>
        <v>H5</v>
      </c>
      <c r="D5" s="8" t="s">
        <v>40</v>
      </c>
      <c r="E5" s="8" t="s">
        <v>3</v>
      </c>
      <c r="F5" s="9" t="str">
        <f>IFERROR(VLOOKUP($B5,Pinouts!$A$5:$R$227,3,FALSE()),"")</f>
        <v>ADC12_INP1, TAMP_IN5,TAMP_OUT4</v>
      </c>
      <c r="G5" s="9" t="s">
        <v>23</v>
      </c>
      <c r="H5" s="9" t="s">
        <v>41</v>
      </c>
      <c r="I5" s="9" t="s">
        <v>42</v>
      </c>
      <c r="J5" s="9" t="s">
        <v>23</v>
      </c>
      <c r="K5" s="9" t="s">
        <v>43</v>
      </c>
      <c r="L5" s="9" t="s">
        <v>44</v>
      </c>
      <c r="M5" s="9" t="s">
        <v>45</v>
      </c>
      <c r="N5" s="9" t="s">
        <v>46</v>
      </c>
      <c r="O5" s="9" t="s">
        <v>47</v>
      </c>
      <c r="P5" s="9" t="s">
        <v>48</v>
      </c>
      <c r="Q5" s="9" t="s">
        <v>49</v>
      </c>
      <c r="R5" s="12" t="s">
        <v>50</v>
      </c>
      <c r="S5" s="9" t="s">
        <v>23</v>
      </c>
      <c r="T5" s="9" t="s">
        <v>23</v>
      </c>
      <c r="U5" s="9" t="s">
        <v>23</v>
      </c>
      <c r="V5" s="9" t="s">
        <v>38</v>
      </c>
      <c r="W5" s="9"/>
    </row>
    <row r="6" spans="1:23" s="6" customFormat="1" ht="13.2" x14ac:dyDescent="0.25">
      <c r="A6" s="16" t="b">
        <f>TRUE()</f>
        <v>1</v>
      </c>
      <c r="B6" s="7" t="s">
        <v>51</v>
      </c>
      <c r="C6" s="8" t="str">
        <f>IFERROR(VLOOKUP($B6,Pinouts!$A$4:$R$227,9,FALSE()),"")</f>
        <v>E11</v>
      </c>
      <c r="D6" s="8" t="s">
        <v>52</v>
      </c>
      <c r="E6" s="8" t="s">
        <v>3</v>
      </c>
      <c r="F6" s="6" t="str">
        <f>IFERROR(VLOOKUP($B6,Pinouts!$A$5:$R$227,3,FALSE()),"")</f>
        <v>-</v>
      </c>
      <c r="G6" s="6" t="s">
        <v>23</v>
      </c>
      <c r="H6" s="6" t="s">
        <v>53</v>
      </c>
      <c r="I6" s="6" t="s">
        <v>23</v>
      </c>
      <c r="J6" s="6" t="s">
        <v>54</v>
      </c>
      <c r="K6" s="6" t="s">
        <v>55</v>
      </c>
      <c r="L6" s="6" t="s">
        <v>23</v>
      </c>
      <c r="M6" s="6" t="s">
        <v>56</v>
      </c>
      <c r="N6" s="12" t="s">
        <v>57</v>
      </c>
      <c r="O6" s="6" t="s">
        <v>23</v>
      </c>
      <c r="P6" s="6" t="s">
        <v>58</v>
      </c>
      <c r="Q6" s="6" t="s">
        <v>23</v>
      </c>
      <c r="R6" s="6" t="s">
        <v>23</v>
      </c>
      <c r="S6" s="6" t="s">
        <v>59</v>
      </c>
      <c r="T6" s="6" t="s">
        <v>60</v>
      </c>
      <c r="U6" s="6" t="s">
        <v>23</v>
      </c>
      <c r="V6" s="6" t="s">
        <v>38</v>
      </c>
    </row>
    <row r="7" spans="1:23" s="6" customFormat="1" ht="13.2" x14ac:dyDescent="0.25">
      <c r="A7" s="16" t="b">
        <f>FALSE()</f>
        <v>0</v>
      </c>
      <c r="B7" s="7" t="s">
        <v>61</v>
      </c>
      <c r="C7" s="8" t="str">
        <f>IFERROR(VLOOKUP($B7,Pinouts!$A$4:$R$227,9,FALSE()),"")</f>
        <v>C13</v>
      </c>
      <c r="D7" s="8"/>
      <c r="E7" s="8" t="s">
        <v>3</v>
      </c>
      <c r="F7" s="6" t="str">
        <f>IFERROR(VLOOKUP($B7,Pinouts!$A$5:$R$227,3,FALSE()),"")</f>
        <v>-</v>
      </c>
      <c r="G7" s="6" t="s">
        <v>23</v>
      </c>
      <c r="H7" s="6" t="s">
        <v>62</v>
      </c>
      <c r="I7" s="6" t="s">
        <v>23</v>
      </c>
      <c r="J7" s="6" t="s">
        <v>63</v>
      </c>
      <c r="K7" s="6" t="s">
        <v>23</v>
      </c>
      <c r="L7" s="6" t="s">
        <v>64</v>
      </c>
      <c r="M7" s="6" t="s">
        <v>47</v>
      </c>
      <c r="N7" s="6" t="s">
        <v>65</v>
      </c>
      <c r="O7" s="6" t="s">
        <v>23</v>
      </c>
      <c r="P7" s="6" t="s">
        <v>66</v>
      </c>
      <c r="Q7" s="12" t="s">
        <v>67</v>
      </c>
      <c r="R7" s="6" t="s">
        <v>23</v>
      </c>
      <c r="S7" s="6" t="s">
        <v>23</v>
      </c>
      <c r="T7" s="6" t="s">
        <v>23</v>
      </c>
      <c r="U7" s="6" t="s">
        <v>23</v>
      </c>
      <c r="V7" s="6" t="s">
        <v>38</v>
      </c>
    </row>
    <row r="8" spans="1:23" s="6" customFormat="1" ht="13.2" x14ac:dyDescent="0.25">
      <c r="A8" s="16" t="b">
        <f>FALSE()</f>
        <v>0</v>
      </c>
      <c r="B8" s="7" t="s">
        <v>68</v>
      </c>
      <c r="C8" s="8" t="str">
        <f>IFERROR(VLOOKUP($B8,Pinouts!$A$4:$R$227,9,FALSE()),"")</f>
        <v>B13</v>
      </c>
      <c r="D8" s="8"/>
      <c r="E8" s="8" t="s">
        <v>3</v>
      </c>
      <c r="F8" s="6" t="str">
        <f>IFERROR(VLOOKUP($B8,Pinouts!$A$5:$R$227,3,FALSE()),"")</f>
        <v>-</v>
      </c>
      <c r="G8" s="6" t="s">
        <v>23</v>
      </c>
      <c r="H8" s="6" t="s">
        <v>69</v>
      </c>
      <c r="I8" s="6" t="s">
        <v>23</v>
      </c>
      <c r="J8" s="6" t="s">
        <v>70</v>
      </c>
      <c r="K8" s="6" t="s">
        <v>23</v>
      </c>
      <c r="L8" s="6" t="s">
        <v>71</v>
      </c>
      <c r="M8" s="6" t="s">
        <v>33</v>
      </c>
      <c r="N8" s="6" t="s">
        <v>72</v>
      </c>
      <c r="O8" s="6" t="s">
        <v>73</v>
      </c>
      <c r="P8" s="6" t="s">
        <v>74</v>
      </c>
      <c r="Q8" s="12" t="s">
        <v>75</v>
      </c>
      <c r="R8" s="6" t="s">
        <v>23</v>
      </c>
      <c r="S8" s="6" t="s">
        <v>23</v>
      </c>
      <c r="T8" s="6" t="s">
        <v>23</v>
      </c>
      <c r="U8" s="6" t="s">
        <v>23</v>
      </c>
      <c r="V8" s="6" t="s">
        <v>38</v>
      </c>
    </row>
    <row r="9" spans="1:23" s="6" customFormat="1" ht="13.2" x14ac:dyDescent="0.25">
      <c r="A9" s="16" t="b">
        <f>TRUE()</f>
        <v>1</v>
      </c>
      <c r="B9" s="7" t="s">
        <v>76</v>
      </c>
      <c r="C9" s="8" t="str">
        <f>IFERROR(VLOOKUP($B9,Pinouts!$A$4:$R$227,9,FALSE()),"")</f>
        <v>D12</v>
      </c>
      <c r="D9" s="8" t="s">
        <v>77</v>
      </c>
      <c r="E9" s="8" t="s">
        <v>3</v>
      </c>
      <c r="F9" s="6" t="str">
        <f>IFERROR(VLOOKUP($B9,Pinouts!$A$5:$R$227,3,FALSE()),"")</f>
        <v>-</v>
      </c>
      <c r="G9" s="12" t="s">
        <v>78</v>
      </c>
      <c r="H9" s="6" t="s">
        <v>23</v>
      </c>
      <c r="I9" s="6" t="s">
        <v>23</v>
      </c>
      <c r="J9" s="6" t="s">
        <v>23</v>
      </c>
      <c r="K9" s="6" t="s">
        <v>23</v>
      </c>
      <c r="L9" s="6" t="s">
        <v>23</v>
      </c>
      <c r="M9" s="6" t="s">
        <v>23</v>
      </c>
      <c r="O9" s="6" t="s">
        <v>23</v>
      </c>
      <c r="P9" s="6" t="s">
        <v>23</v>
      </c>
      <c r="Q9" s="6" t="s">
        <v>23</v>
      </c>
      <c r="R9" s="6" t="s">
        <v>23</v>
      </c>
      <c r="S9" s="6" t="s">
        <v>23</v>
      </c>
      <c r="T9" s="6" t="s">
        <v>23</v>
      </c>
      <c r="U9" s="6" t="s">
        <v>23</v>
      </c>
      <c r="V9" s="6" t="s">
        <v>38</v>
      </c>
    </row>
    <row r="10" spans="1:23" s="6" customFormat="1" ht="13.2" x14ac:dyDescent="0.25">
      <c r="A10" s="16" t="b">
        <f>TRUE()</f>
        <v>1</v>
      </c>
      <c r="B10" s="7" t="s">
        <v>79</v>
      </c>
      <c r="C10" s="8" t="str">
        <f>IFERROR(VLOOKUP($B10,Pinouts!$A$4:$R$227,9,FALSE()),"")</f>
        <v>C10</v>
      </c>
      <c r="D10" s="8" t="s">
        <v>80</v>
      </c>
      <c r="E10" s="8" t="s">
        <v>3</v>
      </c>
      <c r="F10" s="6" t="str">
        <f>IFERROR(VLOOKUP($B10,Pinouts!$A$5:$R$227,3,FALSE()),"")</f>
        <v>-</v>
      </c>
      <c r="G10" s="12" t="s">
        <v>81</v>
      </c>
      <c r="H10" s="6" t="s">
        <v>23</v>
      </c>
      <c r="I10" s="6" t="s">
        <v>23</v>
      </c>
      <c r="J10" s="6" t="s">
        <v>23</v>
      </c>
      <c r="K10" s="6" t="s">
        <v>23</v>
      </c>
      <c r="L10" s="6" t="s">
        <v>23</v>
      </c>
      <c r="M10" s="6" t="s">
        <v>23</v>
      </c>
      <c r="O10" s="6" t="s">
        <v>23</v>
      </c>
      <c r="P10" s="6" t="s">
        <v>23</v>
      </c>
      <c r="Q10" s="6" t="s">
        <v>23</v>
      </c>
      <c r="R10" s="6" t="s">
        <v>23</v>
      </c>
      <c r="S10" s="6" t="s">
        <v>23</v>
      </c>
      <c r="T10" s="6" t="s">
        <v>23</v>
      </c>
      <c r="U10" s="6" t="s">
        <v>23</v>
      </c>
      <c r="V10" s="6" t="s">
        <v>38</v>
      </c>
    </row>
    <row r="11" spans="1:23" s="6" customFormat="1" ht="13.2" x14ac:dyDescent="0.25">
      <c r="A11" s="16" t="b">
        <f>FALSE()</f>
        <v>0</v>
      </c>
      <c r="B11" s="7" t="s">
        <v>82</v>
      </c>
      <c r="C11" s="8" t="str">
        <f>IFERROR(VLOOKUP($B11,Pinouts!$A$4:$R$227,9,FALSE()),"")</f>
        <v>B10</v>
      </c>
      <c r="D11" s="8"/>
      <c r="E11" s="8" t="s">
        <v>3</v>
      </c>
      <c r="F11" s="6" t="str">
        <f>IFERROR(VLOOKUP($B11,Pinouts!$A$5:$R$227,3,FALSE()),"")</f>
        <v>-</v>
      </c>
      <c r="G11" s="6" t="s">
        <v>83</v>
      </c>
      <c r="H11" s="6" t="s">
        <v>84</v>
      </c>
      <c r="I11" s="6" t="s">
        <v>85</v>
      </c>
      <c r="J11" s="6" t="s">
        <v>23</v>
      </c>
      <c r="K11" s="6" t="s">
        <v>86</v>
      </c>
      <c r="L11" s="6" t="s">
        <v>87</v>
      </c>
      <c r="M11" s="6" t="s">
        <v>88</v>
      </c>
      <c r="N11" s="6" t="s">
        <v>30</v>
      </c>
      <c r="O11" s="6" t="s">
        <v>89</v>
      </c>
      <c r="P11" s="6" t="s">
        <v>23</v>
      </c>
      <c r="Q11" s="6" t="s">
        <v>23</v>
      </c>
      <c r="R11" s="6" t="s">
        <v>90</v>
      </c>
      <c r="S11" s="6" t="s">
        <v>91</v>
      </c>
      <c r="T11" s="6" t="s">
        <v>92</v>
      </c>
      <c r="U11" s="6" t="s">
        <v>37</v>
      </c>
      <c r="V11" s="6" t="s">
        <v>38</v>
      </c>
    </row>
    <row r="12" spans="1:23" s="6" customFormat="1" ht="13.2" x14ac:dyDescent="0.25">
      <c r="A12" s="17" t="b">
        <f>TRUE()</f>
        <v>1</v>
      </c>
      <c r="B12" s="11" t="s">
        <v>93</v>
      </c>
      <c r="C12" s="8" t="str">
        <f>IFERROR(VLOOKUP($B12,Pinouts!$A$4:$R$227,9,FALSE()),"")</f>
        <v>L3</v>
      </c>
      <c r="D12" s="8" t="s">
        <v>94</v>
      </c>
      <c r="E12" s="8" t="s">
        <v>3</v>
      </c>
      <c r="F12" s="9" t="str">
        <f>IFERROR(VLOOKUP($B12,Pinouts!$A$5:$R$227,3,FALSE()),"")</f>
        <v>ADC12_INP14, TAMP_IN4,TAMP_OUT3, WKUP2</v>
      </c>
      <c r="G12" s="9" t="s">
        <v>23</v>
      </c>
      <c r="H12" s="9" t="s">
        <v>95</v>
      </c>
      <c r="I12" s="9" t="s">
        <v>96</v>
      </c>
      <c r="J12" s="9" t="s">
        <v>23</v>
      </c>
      <c r="K12" s="9" t="s">
        <v>97</v>
      </c>
      <c r="L12" s="9" t="s">
        <v>98</v>
      </c>
      <c r="M12" s="9" t="s">
        <v>23</v>
      </c>
      <c r="N12" s="9" t="s">
        <v>99</v>
      </c>
      <c r="O12" s="9" t="s">
        <v>100</v>
      </c>
      <c r="P12" s="9" t="s">
        <v>23</v>
      </c>
      <c r="Q12" s="9" t="s">
        <v>23</v>
      </c>
      <c r="R12" s="12" t="s">
        <v>101</v>
      </c>
      <c r="S12" s="9" t="s">
        <v>23</v>
      </c>
      <c r="T12" s="9" t="s">
        <v>23</v>
      </c>
      <c r="U12" s="9" t="s">
        <v>23</v>
      </c>
      <c r="V12" s="9" t="s">
        <v>38</v>
      </c>
      <c r="W12" s="9"/>
    </row>
    <row r="13" spans="1:23" s="6" customFormat="1" ht="13.2" x14ac:dyDescent="0.25">
      <c r="A13" s="16" t="b">
        <f>TRUE()</f>
        <v>1</v>
      </c>
      <c r="B13" s="7" t="s">
        <v>102</v>
      </c>
      <c r="C13" s="8" t="str">
        <f>IFERROR(VLOOKUP($B13,Pinouts!$A$4:$R$227,9,FALSE()),"")</f>
        <v>K4</v>
      </c>
      <c r="D13" s="8" t="s">
        <v>103</v>
      </c>
      <c r="E13" s="8" t="s">
        <v>3</v>
      </c>
      <c r="F13" s="12" t="str">
        <f>IFERROR(VLOOKUP($B13,Pinouts!$A$5:$R$227,3,FALSE()),"")</f>
        <v>ADC12_INP15</v>
      </c>
      <c r="G13" s="6" t="s">
        <v>23</v>
      </c>
      <c r="H13" s="6" t="s">
        <v>104</v>
      </c>
      <c r="I13" s="6" t="s">
        <v>105</v>
      </c>
      <c r="J13" s="6" t="s">
        <v>106</v>
      </c>
      <c r="K13" s="6" t="s">
        <v>107</v>
      </c>
      <c r="L13" s="6" t="s">
        <v>64</v>
      </c>
      <c r="M13" s="6" t="s">
        <v>108</v>
      </c>
      <c r="N13" s="6" t="s">
        <v>109</v>
      </c>
      <c r="O13" s="6" t="s">
        <v>23</v>
      </c>
      <c r="P13" s="6" t="s">
        <v>23</v>
      </c>
      <c r="Q13" s="6" t="s">
        <v>23</v>
      </c>
      <c r="R13" s="6" t="s">
        <v>110</v>
      </c>
      <c r="S13" s="6" t="s">
        <v>23</v>
      </c>
      <c r="T13" s="6" t="s">
        <v>23</v>
      </c>
      <c r="U13" s="6" t="s">
        <v>23</v>
      </c>
      <c r="V13" s="6" t="s">
        <v>38</v>
      </c>
    </row>
    <row r="14" spans="1:23" s="6" customFormat="1" ht="13.2" x14ac:dyDescent="0.25">
      <c r="A14" s="16" t="b">
        <f>TRUE()</f>
        <v>1</v>
      </c>
      <c r="B14" s="7" t="s">
        <v>111</v>
      </c>
      <c r="C14" s="8" t="str">
        <f>IFERROR(VLOOKUP($B14,Pinouts!$A$4:$R$227,9,FALSE()),"")</f>
        <v>M4</v>
      </c>
      <c r="D14" s="8" t="s">
        <v>112</v>
      </c>
      <c r="E14" s="8" t="s">
        <v>3</v>
      </c>
      <c r="F14" s="12" t="str">
        <f>IFERROR(VLOOKUP($B14,Pinouts!$A$5:$R$227,3,FALSE()),"")</f>
        <v>DAC1_OUT1, ADC12_INP18</v>
      </c>
      <c r="G14" s="6" t="s">
        <v>23</v>
      </c>
      <c r="H14" s="6" t="s">
        <v>23</v>
      </c>
      <c r="I14" s="6" t="s">
        <v>113</v>
      </c>
      <c r="J14" s="6" t="s">
        <v>114</v>
      </c>
      <c r="K14" s="6" t="s">
        <v>23</v>
      </c>
      <c r="L14" s="6" t="s">
        <v>87</v>
      </c>
      <c r="M14" s="6" t="s">
        <v>88</v>
      </c>
      <c r="N14" s="6" t="s">
        <v>115</v>
      </c>
      <c r="O14" s="6" t="s">
        <v>30</v>
      </c>
      <c r="P14" s="6" t="s">
        <v>23</v>
      </c>
      <c r="Q14" s="6" t="s">
        <v>23</v>
      </c>
      <c r="R14" s="6" t="s">
        <v>23</v>
      </c>
      <c r="S14" s="6" t="s">
        <v>23</v>
      </c>
      <c r="T14" s="6" t="s">
        <v>116</v>
      </c>
      <c r="U14" s="6" t="s">
        <v>23</v>
      </c>
      <c r="V14" s="6" t="s">
        <v>38</v>
      </c>
    </row>
    <row r="15" spans="1:23" s="6" customFormat="1" ht="13.2" x14ac:dyDescent="0.25">
      <c r="A15" s="16" t="b">
        <v>1</v>
      </c>
      <c r="B15" s="7" t="s">
        <v>117</v>
      </c>
      <c r="C15" s="8" t="str">
        <f>IFERROR(VLOOKUP($B15,Pinouts!$A$4:$R$227,9,FALSE()),"")</f>
        <v>J5</v>
      </c>
      <c r="D15" s="8" t="s">
        <v>118</v>
      </c>
      <c r="E15" s="8" t="s">
        <v>3</v>
      </c>
      <c r="F15" s="12" t="str">
        <f>IFERROR(VLOOKUP($B15,Pinouts!$A$5:$R$227,3,FALSE()),"")</f>
        <v>ADC12_INP19, ADC12_INN18, DAC1_OUT2</v>
      </c>
      <c r="G15" s="6" t="s">
        <v>23</v>
      </c>
      <c r="H15" s="6" t="s">
        <v>84</v>
      </c>
      <c r="I15" s="6" t="s">
        <v>23</v>
      </c>
      <c r="J15" s="6" t="s">
        <v>119</v>
      </c>
      <c r="K15" s="6" t="s">
        <v>23</v>
      </c>
      <c r="L15" s="6" t="s">
        <v>120</v>
      </c>
      <c r="M15" s="6" t="s">
        <v>23</v>
      </c>
      <c r="O15" s="6" t="s">
        <v>121</v>
      </c>
      <c r="P15" s="6" t="s">
        <v>23</v>
      </c>
      <c r="Q15" s="6" t="s">
        <v>23</v>
      </c>
      <c r="R15" s="6" t="s">
        <v>122</v>
      </c>
      <c r="S15" s="6" t="s">
        <v>23</v>
      </c>
      <c r="T15" s="6" t="s">
        <v>123</v>
      </c>
      <c r="U15" s="6" t="s">
        <v>37</v>
      </c>
      <c r="V15" s="6" t="s">
        <v>38</v>
      </c>
    </row>
    <row r="16" spans="1:23" s="6" customFormat="1" ht="13.2" x14ac:dyDescent="0.25">
      <c r="A16" s="16" t="b">
        <f>FALSE()</f>
        <v>0</v>
      </c>
      <c r="B16" s="7" t="s">
        <v>124</v>
      </c>
      <c r="C16" s="8" t="str">
        <f>IFERROR(VLOOKUP($B16,Pinouts!$A$4:$R$227,9,FALSE()),"")</f>
        <v>N4</v>
      </c>
      <c r="D16" s="8"/>
      <c r="E16" s="8" t="s">
        <v>3</v>
      </c>
      <c r="F16" s="6" t="str">
        <f>IFERROR(VLOOKUP($B16,Pinouts!$A$5:$R$227,3,FALSE()),"")</f>
        <v>ADC12_INP3</v>
      </c>
      <c r="G16" s="6" t="s">
        <v>23</v>
      </c>
      <c r="H16" s="6" t="s">
        <v>125</v>
      </c>
      <c r="I16" s="6" t="s">
        <v>126</v>
      </c>
      <c r="J16" s="6" t="s">
        <v>127</v>
      </c>
      <c r="K16" s="6" t="s">
        <v>23</v>
      </c>
      <c r="L16" s="6" t="s">
        <v>128</v>
      </c>
      <c r="M16" s="6" t="s">
        <v>48</v>
      </c>
      <c r="N16" s="6" t="s">
        <v>129</v>
      </c>
      <c r="O16" s="6" t="s">
        <v>130</v>
      </c>
      <c r="P16" s="6" t="s">
        <v>131</v>
      </c>
      <c r="Q16" s="6" t="s">
        <v>23</v>
      </c>
      <c r="R16" s="6" t="s">
        <v>23</v>
      </c>
      <c r="S16" s="6" t="s">
        <v>23</v>
      </c>
      <c r="T16" s="6" t="s">
        <v>132</v>
      </c>
      <c r="U16" s="6" t="s">
        <v>23</v>
      </c>
      <c r="V16" s="6" t="s">
        <v>38</v>
      </c>
    </row>
    <row r="17" spans="1:22" s="6" customFormat="1" ht="13.2" x14ac:dyDescent="0.25">
      <c r="A17" s="16" t="b">
        <f>TRUE()</f>
        <v>1</v>
      </c>
      <c r="B17" s="7" t="s">
        <v>133</v>
      </c>
      <c r="C17" s="8" t="str">
        <f>IFERROR(VLOOKUP($B17,Pinouts!$A$4:$R$227,9,FALSE()),"")</f>
        <v>K5</v>
      </c>
      <c r="D17" s="8" t="s">
        <v>134</v>
      </c>
      <c r="E17" s="8" t="s">
        <v>3</v>
      </c>
      <c r="F17" s="6" t="str">
        <f>IFERROR(VLOOKUP($B17,Pinouts!$A$5:$R$227,3,FALSE()),"")</f>
        <v>ADC12_INP7, ADC12_INN3</v>
      </c>
      <c r="G17" s="6" t="s">
        <v>23</v>
      </c>
      <c r="H17" s="6" t="s">
        <v>135</v>
      </c>
      <c r="I17" s="6" t="s">
        <v>136</v>
      </c>
      <c r="J17" s="6" t="s">
        <v>119</v>
      </c>
      <c r="K17" s="6" t="s">
        <v>23</v>
      </c>
      <c r="L17" s="6" t="s">
        <v>137</v>
      </c>
      <c r="M17" s="6" t="s">
        <v>23</v>
      </c>
      <c r="N17" s="6" t="s">
        <v>138</v>
      </c>
      <c r="O17" s="6" t="s">
        <v>139</v>
      </c>
      <c r="P17" s="6" t="s">
        <v>140</v>
      </c>
      <c r="Q17" s="6" t="s">
        <v>141</v>
      </c>
      <c r="R17" s="12" t="s">
        <v>142</v>
      </c>
      <c r="S17" s="6" t="s">
        <v>143</v>
      </c>
      <c r="T17" s="6" t="s">
        <v>144</v>
      </c>
      <c r="U17" s="6" t="s">
        <v>23</v>
      </c>
      <c r="V17" s="6" t="s">
        <v>38</v>
      </c>
    </row>
    <row r="18" spans="1:22" s="6" customFormat="1" ht="13.2" x14ac:dyDescent="0.25">
      <c r="A18" s="16" t="b">
        <f>FALSE()</f>
        <v>0</v>
      </c>
      <c r="B18" s="7" t="s">
        <v>145</v>
      </c>
      <c r="C18" s="8" t="str">
        <f>IFERROR(VLOOKUP($B18,Pinouts!$A$4:$R$227,9,FALSE()),"")</f>
        <v>E10</v>
      </c>
      <c r="D18" s="8"/>
      <c r="E18" s="8" t="s">
        <v>3</v>
      </c>
      <c r="F18" s="6" t="str">
        <f>IFERROR(VLOOKUP($B18,Pinouts!$A$5:$R$227,3,FALSE()),"")</f>
        <v>-</v>
      </c>
      <c r="G18" s="6" t="s">
        <v>146</v>
      </c>
      <c r="H18" s="12" t="s">
        <v>147</v>
      </c>
      <c r="I18" s="6" t="s">
        <v>23</v>
      </c>
      <c r="J18" s="6" t="s">
        <v>148</v>
      </c>
      <c r="K18" s="6" t="s">
        <v>149</v>
      </c>
      <c r="L18" s="6" t="s">
        <v>150</v>
      </c>
      <c r="M18" s="6" t="s">
        <v>23</v>
      </c>
      <c r="N18" s="6" t="s">
        <v>151</v>
      </c>
      <c r="O18" s="6" t="s">
        <v>23</v>
      </c>
      <c r="P18" s="6" t="s">
        <v>23</v>
      </c>
      <c r="Q18" s="6" t="s">
        <v>152</v>
      </c>
      <c r="R18" s="6" t="s">
        <v>153</v>
      </c>
      <c r="S18" s="6" t="s">
        <v>154</v>
      </c>
      <c r="T18" s="6" t="s">
        <v>155</v>
      </c>
      <c r="U18" s="6" t="s">
        <v>23</v>
      </c>
      <c r="V18" s="6" t="s">
        <v>38</v>
      </c>
    </row>
    <row r="19" spans="1:22" s="6" customFormat="1" ht="13.2" x14ac:dyDescent="0.25">
      <c r="A19" s="16" t="b">
        <f>TRUE()</f>
        <v>1</v>
      </c>
      <c r="B19" s="7" t="s">
        <v>156</v>
      </c>
      <c r="C19" s="8" t="str">
        <f>IFERROR(VLOOKUP($B19,Pinouts!$A$4:$R$227,9,FALSE()),"")</f>
        <v>F13</v>
      </c>
      <c r="D19" s="8" t="s">
        <v>157</v>
      </c>
      <c r="E19" s="8" t="s">
        <v>3</v>
      </c>
      <c r="F19" s="6" t="str">
        <f>IFERROR(VLOOKUP($B19,Pinouts!$A$5:$R$227,3,FALSE()),"")</f>
        <v>UCPD1_DB1</v>
      </c>
      <c r="G19" s="6" t="s">
        <v>23</v>
      </c>
      <c r="H19" s="6" t="s">
        <v>158</v>
      </c>
      <c r="I19" s="6" t="s">
        <v>23</v>
      </c>
      <c r="J19" s="6" t="s">
        <v>159</v>
      </c>
      <c r="K19" s="6" t="s">
        <v>160</v>
      </c>
      <c r="L19" s="6" t="s">
        <v>71</v>
      </c>
      <c r="M19" s="6" t="s">
        <v>23</v>
      </c>
      <c r="N19" s="12" t="s">
        <v>161</v>
      </c>
      <c r="O19" s="6" t="s">
        <v>23</v>
      </c>
      <c r="P19" s="6" t="s">
        <v>23</v>
      </c>
      <c r="Q19" s="6" t="s">
        <v>23</v>
      </c>
      <c r="R19" s="6" t="s">
        <v>162</v>
      </c>
      <c r="S19" s="6" t="s">
        <v>144</v>
      </c>
      <c r="T19" s="6" t="s">
        <v>163</v>
      </c>
      <c r="U19" s="6" t="s">
        <v>23</v>
      </c>
      <c r="V19" s="6" t="s">
        <v>38</v>
      </c>
    </row>
    <row r="20" spans="1:22" s="6" customFormat="1" ht="13.2" x14ac:dyDescent="0.25">
      <c r="A20" s="16" t="b">
        <f>FALSE()</f>
        <v>0</v>
      </c>
      <c r="B20" s="7" t="s">
        <v>164</v>
      </c>
      <c r="C20" s="8" t="str">
        <f>IFERROR(VLOOKUP($B20,Pinouts!$A$4:$R$227,9,FALSE()),"")</f>
        <v>N5</v>
      </c>
      <c r="D20" s="8"/>
      <c r="E20" s="8" t="s">
        <v>3</v>
      </c>
      <c r="F20" s="12" t="str">
        <f>IFERROR(VLOOKUP($B20,Pinouts!$A$5:$R$227,3,FALSE()),"")</f>
        <v>ADC12_INP9, ADC12_INN5</v>
      </c>
      <c r="G20" s="6" t="s">
        <v>23</v>
      </c>
      <c r="H20" s="6" t="s">
        <v>165</v>
      </c>
      <c r="I20" s="6" t="s">
        <v>166</v>
      </c>
      <c r="J20" s="6" t="s">
        <v>167</v>
      </c>
      <c r="K20" s="6" t="s">
        <v>23</v>
      </c>
      <c r="L20" s="6" t="s">
        <v>23</v>
      </c>
      <c r="M20" s="6" t="s">
        <v>168</v>
      </c>
      <c r="N20" s="6" t="s">
        <v>169</v>
      </c>
      <c r="O20" s="6" t="s">
        <v>170</v>
      </c>
      <c r="P20" s="6" t="s">
        <v>23</v>
      </c>
      <c r="Q20" s="6" t="s">
        <v>23</v>
      </c>
      <c r="R20" s="6" t="s">
        <v>171</v>
      </c>
      <c r="S20" s="6" t="s">
        <v>23</v>
      </c>
      <c r="T20" s="6" t="s">
        <v>23</v>
      </c>
      <c r="U20" s="6" t="s">
        <v>172</v>
      </c>
      <c r="V20" s="6" t="s">
        <v>38</v>
      </c>
    </row>
    <row r="21" spans="1:22" s="6" customFormat="1" ht="13.2" x14ac:dyDescent="0.25">
      <c r="A21" s="16" t="b">
        <f>FALSE()</f>
        <v>0</v>
      </c>
      <c r="B21" s="7" t="s">
        <v>173</v>
      </c>
      <c r="C21" s="8" t="str">
        <f>IFERROR(VLOOKUP($B21,Pinouts!$A$4:$R$227,9,FALSE()),"")</f>
        <v>H6</v>
      </c>
      <c r="D21" s="8"/>
      <c r="E21" s="8" t="s">
        <v>3</v>
      </c>
      <c r="F21" s="12" t="str">
        <f>IFERROR(VLOOKUP($B21,Pinouts!$A$5:$R$227,3,FALSE()),"")</f>
        <v>ADC12_INP5</v>
      </c>
      <c r="G21" s="6" t="s">
        <v>23</v>
      </c>
      <c r="H21" s="6" t="s">
        <v>174</v>
      </c>
      <c r="I21" s="6" t="s">
        <v>175</v>
      </c>
      <c r="J21" s="6" t="s">
        <v>176</v>
      </c>
      <c r="K21" s="6" t="s">
        <v>23</v>
      </c>
      <c r="L21" s="6" t="s">
        <v>23</v>
      </c>
      <c r="M21" s="6" t="s">
        <v>177</v>
      </c>
      <c r="N21" s="6" t="s">
        <v>23</v>
      </c>
      <c r="O21" s="6" t="s">
        <v>23</v>
      </c>
      <c r="P21" s="6" t="s">
        <v>23</v>
      </c>
      <c r="Q21" s="6" t="s">
        <v>23</v>
      </c>
      <c r="R21" s="6" t="s">
        <v>178</v>
      </c>
      <c r="S21" s="6" t="s">
        <v>23</v>
      </c>
      <c r="T21" s="6" t="s">
        <v>23</v>
      </c>
      <c r="U21" s="6" t="s">
        <v>179</v>
      </c>
      <c r="V21" s="6" t="s">
        <v>38</v>
      </c>
    </row>
    <row r="22" spans="1:22" s="6" customFormat="1" ht="13.2" x14ac:dyDescent="0.25">
      <c r="A22" s="16" t="b">
        <f>TRUE()</f>
        <v>1</v>
      </c>
      <c r="B22" s="7" t="s">
        <v>180</v>
      </c>
      <c r="C22" s="8" t="str">
        <f>IFERROR(VLOOKUP($B22,Pinouts!$A$4:$R$227,9,FALSE()),"")</f>
        <v>K9</v>
      </c>
      <c r="D22" s="8" t="s">
        <v>181</v>
      </c>
      <c r="E22" s="8" t="s">
        <v>3</v>
      </c>
      <c r="F22" s="6" t="str">
        <f>IFERROR(VLOOKUP($B22,Pinouts!$A$5:$R$227,3,FALSE()),"")</f>
        <v>-</v>
      </c>
      <c r="G22" s="6" t="s">
        <v>23</v>
      </c>
      <c r="H22" s="6" t="s">
        <v>95</v>
      </c>
      <c r="I22" s="6" t="s">
        <v>172</v>
      </c>
      <c r="J22" s="6" t="s">
        <v>182</v>
      </c>
      <c r="K22" s="6" t="s">
        <v>183</v>
      </c>
      <c r="L22" s="6" t="s">
        <v>71</v>
      </c>
      <c r="M22" s="6" t="s">
        <v>23</v>
      </c>
      <c r="N22" s="6" t="s">
        <v>184</v>
      </c>
      <c r="O22" s="6" t="s">
        <v>23</v>
      </c>
      <c r="P22" s="6" t="s">
        <v>185</v>
      </c>
      <c r="Q22" s="6" t="s">
        <v>23</v>
      </c>
      <c r="R22" s="12" t="s">
        <v>186</v>
      </c>
      <c r="S22" s="6" t="s">
        <v>23</v>
      </c>
      <c r="T22" s="6" t="s">
        <v>23</v>
      </c>
      <c r="U22" s="6" t="s">
        <v>23</v>
      </c>
      <c r="V22" s="6" t="s">
        <v>38</v>
      </c>
    </row>
    <row r="23" spans="1:22" s="6" customFormat="1" ht="13.2" x14ac:dyDescent="0.25">
      <c r="A23" s="16" t="b">
        <f>TRUE()</f>
        <v>1</v>
      </c>
      <c r="B23" s="7" t="s">
        <v>187</v>
      </c>
      <c r="C23" s="8" t="str">
        <f>IFERROR(VLOOKUP($B23,Pinouts!$A$4:$R$227,9,FALSE()),"")</f>
        <v>L10</v>
      </c>
      <c r="D23" s="8" t="s">
        <v>188</v>
      </c>
      <c r="E23" s="8" t="s">
        <v>3</v>
      </c>
      <c r="F23" s="6" t="str">
        <f>IFERROR(VLOOKUP($B23,Pinouts!$A$5:$R$227,3,FALSE()),"")</f>
        <v>-</v>
      </c>
      <c r="G23" s="6" t="s">
        <v>23</v>
      </c>
      <c r="H23" s="6" t="s">
        <v>104</v>
      </c>
      <c r="I23" s="6" t="s">
        <v>23</v>
      </c>
      <c r="J23" s="6" t="s">
        <v>189</v>
      </c>
      <c r="K23" s="6" t="s">
        <v>190</v>
      </c>
      <c r="L23" s="6" t="s">
        <v>191</v>
      </c>
      <c r="M23" s="6" t="s">
        <v>192</v>
      </c>
      <c r="N23" s="6" t="s">
        <v>193</v>
      </c>
      <c r="O23" s="6" t="s">
        <v>23</v>
      </c>
      <c r="P23" s="6" t="s">
        <v>23</v>
      </c>
      <c r="Q23" s="6" t="s">
        <v>23</v>
      </c>
      <c r="R23" s="12" t="s">
        <v>122</v>
      </c>
      <c r="S23" s="6" t="s">
        <v>91</v>
      </c>
      <c r="T23" s="6" t="s">
        <v>23</v>
      </c>
      <c r="U23" s="6" t="s">
        <v>23</v>
      </c>
      <c r="V23" s="6" t="s">
        <v>38</v>
      </c>
    </row>
    <row r="24" spans="1:22" s="6" customFormat="1" ht="13.2" x14ac:dyDescent="0.25">
      <c r="A24" s="16" t="b">
        <f>TRUE()</f>
        <v>1</v>
      </c>
      <c r="B24" s="7" t="s">
        <v>194</v>
      </c>
      <c r="C24" s="8" t="str">
        <f>IFERROR(VLOOKUP($B24,Pinouts!$A$4:$R$227,9,FALSE()),"")</f>
        <v>K11</v>
      </c>
      <c r="D24" s="8" t="s">
        <v>195</v>
      </c>
      <c r="E24" s="8" t="s">
        <v>3</v>
      </c>
      <c r="F24" s="6" t="str">
        <f>IFERROR(VLOOKUP($B24,Pinouts!$A$5:$R$227,3,FALSE()),"")</f>
        <v>-</v>
      </c>
      <c r="G24" s="6" t="s">
        <v>23</v>
      </c>
      <c r="H24" s="6" t="s">
        <v>125</v>
      </c>
      <c r="I24" s="6" t="s">
        <v>23</v>
      </c>
      <c r="J24" s="6" t="s">
        <v>196</v>
      </c>
      <c r="K24" s="6" t="s">
        <v>190</v>
      </c>
      <c r="L24" s="6" t="s">
        <v>64</v>
      </c>
      <c r="M24" s="6" t="s">
        <v>56</v>
      </c>
      <c r="N24" s="6" t="s">
        <v>197</v>
      </c>
      <c r="O24" s="6" t="s">
        <v>23</v>
      </c>
      <c r="P24" s="6" t="s">
        <v>198</v>
      </c>
      <c r="Q24" s="6" t="s">
        <v>23</v>
      </c>
      <c r="R24" s="12" t="s">
        <v>199</v>
      </c>
      <c r="S24" s="6" t="s">
        <v>23</v>
      </c>
      <c r="T24" s="6" t="s">
        <v>23</v>
      </c>
      <c r="U24" s="6" t="s">
        <v>200</v>
      </c>
      <c r="V24" s="6" t="s">
        <v>38</v>
      </c>
    </row>
    <row r="25" spans="1:22" s="6" customFormat="1" ht="13.2" x14ac:dyDescent="0.25">
      <c r="A25" s="16" t="b">
        <f>FALSE()</f>
        <v>0</v>
      </c>
      <c r="B25" s="7" t="s">
        <v>201</v>
      </c>
      <c r="C25" s="8" t="str">
        <f>IFERROR(VLOOKUP($B25,Pinouts!$A$4:$R$227,9,FALSE()),"")</f>
        <v>K12</v>
      </c>
      <c r="D25" s="8"/>
      <c r="E25" s="8" t="s">
        <v>3</v>
      </c>
      <c r="F25" s="6" t="str">
        <f>IFERROR(VLOOKUP($B25,Pinouts!$A$5:$R$227,3,FALSE()),"")</f>
        <v>UCPD1_CC1</v>
      </c>
      <c r="G25" s="6" t="s">
        <v>23</v>
      </c>
      <c r="H25" s="6" t="s">
        <v>135</v>
      </c>
      <c r="I25" s="6" t="s">
        <v>202</v>
      </c>
      <c r="J25" s="6" t="s">
        <v>114</v>
      </c>
      <c r="K25" s="6" t="s">
        <v>203</v>
      </c>
      <c r="L25" s="6" t="s">
        <v>71</v>
      </c>
      <c r="M25" s="6" t="s">
        <v>23</v>
      </c>
      <c r="N25" s="6" t="s">
        <v>204</v>
      </c>
      <c r="O25" s="6" t="s">
        <v>23</v>
      </c>
      <c r="P25" s="6" t="s">
        <v>58</v>
      </c>
      <c r="Q25" s="6" t="s">
        <v>23</v>
      </c>
      <c r="R25" s="6" t="s">
        <v>23</v>
      </c>
      <c r="S25" s="6" t="s">
        <v>59</v>
      </c>
      <c r="T25" s="6" t="s">
        <v>23</v>
      </c>
      <c r="U25" s="6" t="s">
        <v>205</v>
      </c>
      <c r="V25" s="6" t="s">
        <v>38</v>
      </c>
    </row>
    <row r="26" spans="1:22" s="6" customFormat="1" ht="13.2" x14ac:dyDescent="0.25">
      <c r="A26" s="16" t="b">
        <f>FALSE()</f>
        <v>0</v>
      </c>
      <c r="B26" s="7" t="s">
        <v>206</v>
      </c>
      <c r="C26" s="8" t="str">
        <f>IFERROR(VLOOKUP($B26,Pinouts!$A$4:$R$227,9,FALSE()),"")</f>
        <v>J10</v>
      </c>
      <c r="D26" s="8"/>
      <c r="E26" s="18" t="s">
        <v>3</v>
      </c>
      <c r="F26" s="6" t="str">
        <f>IFERROR(VLOOKUP($B26,Pinouts!$A$5:$R$227,3,FALSE()),"")</f>
        <v>UCPD1_CC2</v>
      </c>
      <c r="G26" s="6" t="s">
        <v>23</v>
      </c>
      <c r="H26" s="6" t="s">
        <v>165</v>
      </c>
      <c r="I26" s="6" t="s">
        <v>207</v>
      </c>
      <c r="J26" s="6" t="s">
        <v>167</v>
      </c>
      <c r="K26" s="6" t="s">
        <v>161</v>
      </c>
      <c r="L26" s="6" t="s">
        <v>208</v>
      </c>
      <c r="M26" s="6" t="s">
        <v>23</v>
      </c>
      <c r="N26" s="6" t="s">
        <v>209</v>
      </c>
      <c r="O26" s="6" t="s">
        <v>89</v>
      </c>
      <c r="P26" s="6" t="s">
        <v>210</v>
      </c>
      <c r="Q26" s="6" t="s">
        <v>23</v>
      </c>
      <c r="R26" s="6" t="s">
        <v>23</v>
      </c>
      <c r="S26" s="6" t="s">
        <v>23</v>
      </c>
      <c r="T26" s="6" t="s">
        <v>23</v>
      </c>
      <c r="U26" s="6" t="s">
        <v>211</v>
      </c>
      <c r="V26" s="6" t="s">
        <v>38</v>
      </c>
    </row>
    <row r="27" spans="1:22" s="6" customFormat="1" ht="13.2" x14ac:dyDescent="0.25">
      <c r="A27" s="16" t="b">
        <f>TRUE()</f>
        <v>1</v>
      </c>
      <c r="B27" s="7" t="s">
        <v>212</v>
      </c>
      <c r="C27" s="8" t="str">
        <f>IFERROR(VLOOKUP($B27,Pinouts!$A$4:$R$227,9,FALSE()),"")</f>
        <v>H10</v>
      </c>
      <c r="D27" s="8" t="s">
        <v>213</v>
      </c>
      <c r="E27" s="8" t="s">
        <v>3</v>
      </c>
      <c r="F27" s="6" t="str">
        <f>IFERROR(VLOOKUP($B27,Pinouts!$A$5:$R$227,3,FALSE()),"")</f>
        <v>PVD_IN</v>
      </c>
      <c r="G27" s="6" t="s">
        <v>214</v>
      </c>
      <c r="H27" s="6" t="s">
        <v>174</v>
      </c>
      <c r="I27" s="6" t="s">
        <v>215</v>
      </c>
      <c r="J27" s="6" t="s">
        <v>176</v>
      </c>
      <c r="K27" s="6" t="s">
        <v>57</v>
      </c>
      <c r="L27" s="6" t="s">
        <v>216</v>
      </c>
      <c r="N27" s="6" t="s">
        <v>217</v>
      </c>
      <c r="O27" s="6" t="s">
        <v>170</v>
      </c>
      <c r="P27" s="6" t="s">
        <v>218</v>
      </c>
      <c r="Q27" s="6" t="s">
        <v>106</v>
      </c>
      <c r="R27" s="12" t="s">
        <v>219</v>
      </c>
      <c r="S27" s="6" t="s">
        <v>23</v>
      </c>
      <c r="T27" s="6" t="s">
        <v>220</v>
      </c>
      <c r="U27" s="6" t="s">
        <v>200</v>
      </c>
      <c r="V27" s="6" t="s">
        <v>38</v>
      </c>
    </row>
    <row r="28" spans="1:22" s="6" customFormat="1" ht="13.2" x14ac:dyDescent="0.25">
      <c r="A28" s="16" t="b">
        <f>TRUE()</f>
        <v>1</v>
      </c>
      <c r="B28" s="7" t="s">
        <v>221</v>
      </c>
      <c r="C28" s="8" t="str">
        <f>IFERROR(VLOOKUP($B28,Pinouts!$A$4:$R$227,9,FALSE()),"")</f>
        <v>N6</v>
      </c>
      <c r="D28" s="8" t="s">
        <v>222</v>
      </c>
      <c r="E28" s="8" t="s">
        <v>3</v>
      </c>
      <c r="F28" s="6" t="str">
        <f>IFERROR(VLOOKUP($B28,Pinouts!$A$5:$R$227,3,FALSE()),"")</f>
        <v>LSCO</v>
      </c>
      <c r="G28" s="6" t="s">
        <v>223</v>
      </c>
      <c r="H28" s="6" t="s">
        <v>23</v>
      </c>
      <c r="I28" s="6" t="s">
        <v>224</v>
      </c>
      <c r="J28" s="6" t="s">
        <v>225</v>
      </c>
      <c r="K28" s="6" t="s">
        <v>150</v>
      </c>
      <c r="L28" s="6" t="s">
        <v>226</v>
      </c>
      <c r="M28" s="6" t="s">
        <v>227</v>
      </c>
      <c r="N28" s="6" t="s">
        <v>228</v>
      </c>
      <c r="O28" s="6" t="s">
        <v>23</v>
      </c>
      <c r="P28" s="6" t="s">
        <v>106</v>
      </c>
      <c r="Q28" s="12" t="s">
        <v>45</v>
      </c>
      <c r="R28" s="6" t="s">
        <v>23</v>
      </c>
      <c r="S28" s="6" t="s">
        <v>229</v>
      </c>
      <c r="T28" s="6" t="s">
        <v>230</v>
      </c>
      <c r="U28" s="6" t="s">
        <v>23</v>
      </c>
      <c r="V28" s="6" t="s">
        <v>38</v>
      </c>
    </row>
    <row r="29" spans="1:22" s="6" customFormat="1" ht="13.2" x14ac:dyDescent="0.25">
      <c r="A29" s="16" t="b">
        <f>FALSE()</f>
        <v>0</v>
      </c>
      <c r="B29" s="7" t="s">
        <v>231</v>
      </c>
      <c r="C29" s="8" t="str">
        <f>IFERROR(VLOOKUP($B29,Pinouts!$A$4:$R$227,9,FALSE()),"")</f>
        <v>F6</v>
      </c>
      <c r="D29" s="8"/>
      <c r="E29" s="8" t="s">
        <v>3</v>
      </c>
      <c r="F29" s="6" t="str">
        <f>IFERROR(VLOOKUP($B29,Pinouts!$A$5:$R$227,3,FALSE()),"")</f>
        <v>-</v>
      </c>
      <c r="G29" s="6" t="s">
        <v>232</v>
      </c>
      <c r="H29" s="6" t="s">
        <v>41</v>
      </c>
      <c r="I29" s="6" t="s">
        <v>23</v>
      </c>
      <c r="J29" s="6" t="s">
        <v>23</v>
      </c>
      <c r="K29" s="6" t="s">
        <v>190</v>
      </c>
      <c r="L29" s="6" t="s">
        <v>120</v>
      </c>
      <c r="M29" s="6" t="s">
        <v>233</v>
      </c>
      <c r="N29" s="6" t="s">
        <v>234</v>
      </c>
      <c r="O29" s="6" t="s">
        <v>121</v>
      </c>
      <c r="P29" s="6" t="s">
        <v>235</v>
      </c>
      <c r="Q29" s="6" t="s">
        <v>236</v>
      </c>
      <c r="R29" s="6" t="s">
        <v>153</v>
      </c>
      <c r="S29" s="6" t="s">
        <v>23</v>
      </c>
      <c r="T29" s="6" t="s">
        <v>23</v>
      </c>
      <c r="U29" s="6" t="s">
        <v>237</v>
      </c>
      <c r="V29" s="6" t="s">
        <v>38</v>
      </c>
    </row>
    <row r="30" spans="1:22" s="6" customFormat="1" ht="13.2" x14ac:dyDescent="0.25">
      <c r="A30" s="16" t="b">
        <f>FALSE()</f>
        <v>0</v>
      </c>
      <c r="B30" s="7" t="s">
        <v>238</v>
      </c>
      <c r="C30" s="8" t="str">
        <f>IFERROR(VLOOKUP($B30,Pinouts!$A$4:$R$227,9,FALSE()),"")</f>
        <v>A5</v>
      </c>
      <c r="D30" s="8"/>
      <c r="E30" s="8" t="s">
        <v>3</v>
      </c>
      <c r="F30" s="6" t="str">
        <f>IFERROR(VLOOKUP($B30,Pinouts!$A$5:$R$227,3,FALSE()),"")</f>
        <v>-</v>
      </c>
      <c r="G30" s="6" t="s">
        <v>239</v>
      </c>
      <c r="H30" s="6" t="s">
        <v>240</v>
      </c>
      <c r="I30" s="6" t="s">
        <v>126</v>
      </c>
      <c r="J30" s="6" t="s">
        <v>106</v>
      </c>
      <c r="K30" s="6" t="s">
        <v>241</v>
      </c>
      <c r="L30" s="6" t="s">
        <v>128</v>
      </c>
      <c r="M30" s="6" t="s">
        <v>242</v>
      </c>
      <c r="N30" s="6" t="s">
        <v>64</v>
      </c>
      <c r="O30" s="6" t="s">
        <v>130</v>
      </c>
      <c r="P30" s="6" t="s">
        <v>243</v>
      </c>
      <c r="Q30" s="6" t="s">
        <v>23</v>
      </c>
      <c r="R30" s="6" t="s">
        <v>90</v>
      </c>
      <c r="S30" s="6" t="s">
        <v>23</v>
      </c>
      <c r="T30" s="6" t="s">
        <v>244</v>
      </c>
      <c r="U30" s="6" t="s">
        <v>23</v>
      </c>
      <c r="V30" s="6" t="s">
        <v>38</v>
      </c>
    </row>
    <row r="31" spans="1:22" s="6" customFormat="1" ht="13.2" x14ac:dyDescent="0.25">
      <c r="A31" s="16" t="b">
        <f>TRUE()</f>
        <v>1</v>
      </c>
      <c r="B31" s="7" t="s">
        <v>245</v>
      </c>
      <c r="C31" s="8" t="str">
        <f>IFERROR(VLOOKUP($B31,Pinouts!$A$4:$R$227,9,FALSE()),"")</f>
        <v>E6</v>
      </c>
      <c r="D31" s="8" t="s">
        <v>1029</v>
      </c>
      <c r="E31" s="8" t="s">
        <v>3</v>
      </c>
      <c r="F31" s="6" t="str">
        <f>IFERROR(VLOOKUP($B31,Pinouts!$A$5:$R$227,3,FALSE()),"")</f>
        <v>-</v>
      </c>
      <c r="G31" s="6" t="s">
        <v>23</v>
      </c>
      <c r="H31" s="6" t="s">
        <v>246</v>
      </c>
      <c r="I31" s="6" t="s">
        <v>136</v>
      </c>
      <c r="J31" s="12" t="s">
        <v>196</v>
      </c>
      <c r="K31" s="6" t="s">
        <v>247</v>
      </c>
      <c r="L31" s="6" t="s">
        <v>137</v>
      </c>
      <c r="M31" s="6" t="s">
        <v>248</v>
      </c>
      <c r="N31" s="6" t="s">
        <v>228</v>
      </c>
      <c r="O31" s="6" t="s">
        <v>139</v>
      </c>
      <c r="P31" s="6" t="s">
        <v>198</v>
      </c>
      <c r="Q31" s="6" t="s">
        <v>23</v>
      </c>
      <c r="R31" s="6" t="s">
        <v>249</v>
      </c>
      <c r="S31" s="6" t="s">
        <v>250</v>
      </c>
      <c r="T31" s="6" t="s">
        <v>251</v>
      </c>
      <c r="U31" s="6" t="s">
        <v>200</v>
      </c>
      <c r="V31" s="6" t="s">
        <v>38</v>
      </c>
    </row>
    <row r="32" spans="1:22" s="6" customFormat="1" ht="13.2" x14ac:dyDescent="0.25">
      <c r="A32" s="16" t="b">
        <f>FALSE()</f>
        <v>0</v>
      </c>
      <c r="B32" s="7" t="s">
        <v>252</v>
      </c>
      <c r="C32" s="8" t="str">
        <f>IFERROR(VLOOKUP($B32,Pinouts!$A$4:$R$227,9,FALSE()),"")</f>
        <v>C6</v>
      </c>
      <c r="D32" s="8"/>
      <c r="E32" s="8" t="s">
        <v>3</v>
      </c>
      <c r="F32" s="6" t="str">
        <f>IFERROR(VLOOKUP($B32,Pinouts!$A$5:$R$227,3,FALSE()),"")</f>
        <v>-</v>
      </c>
      <c r="G32" s="6" t="s">
        <v>23</v>
      </c>
      <c r="H32" s="6" t="s">
        <v>253</v>
      </c>
      <c r="I32" s="12" t="s">
        <v>254</v>
      </c>
      <c r="J32" s="6" t="s">
        <v>255</v>
      </c>
      <c r="K32" s="6" t="s">
        <v>256</v>
      </c>
      <c r="L32" s="6" t="s">
        <v>86</v>
      </c>
      <c r="M32" s="6" t="s">
        <v>257</v>
      </c>
      <c r="N32" s="6" t="s">
        <v>161</v>
      </c>
      <c r="O32" s="6" t="s">
        <v>159</v>
      </c>
      <c r="P32" s="6" t="s">
        <v>58</v>
      </c>
      <c r="Q32" s="6" t="s">
        <v>185</v>
      </c>
      <c r="R32" s="6" t="s">
        <v>23</v>
      </c>
      <c r="S32" s="6" t="s">
        <v>258</v>
      </c>
      <c r="T32" s="6" t="s">
        <v>259</v>
      </c>
      <c r="U32" s="6" t="s">
        <v>205</v>
      </c>
      <c r="V32" s="6" t="s">
        <v>38</v>
      </c>
    </row>
    <row r="33" spans="1:22" s="6" customFormat="1" ht="13.2" x14ac:dyDescent="0.25">
      <c r="A33" s="16" t="b">
        <f>FALSE()</f>
        <v>0</v>
      </c>
      <c r="B33" s="7" t="s">
        <v>260</v>
      </c>
      <c r="C33" s="8" t="str">
        <f>IFERROR(VLOOKUP($B33,Pinouts!$A$4:$R$227,9,FALSE()),"")</f>
        <v>D6</v>
      </c>
      <c r="D33" s="8"/>
      <c r="E33" s="8" t="s">
        <v>3</v>
      </c>
      <c r="F33" s="6" t="str">
        <f>IFERROR(VLOOKUP($B33,Pinouts!$A$5:$R$227,3,FALSE()),"")</f>
        <v>WKUP5</v>
      </c>
      <c r="G33" s="6" t="s">
        <v>23</v>
      </c>
      <c r="H33" s="6" t="s">
        <v>261</v>
      </c>
      <c r="I33" s="12" t="s">
        <v>262</v>
      </c>
      <c r="J33" s="6" t="s">
        <v>263</v>
      </c>
      <c r="K33" s="6" t="s">
        <v>264</v>
      </c>
      <c r="L33" s="6" t="s">
        <v>23</v>
      </c>
      <c r="M33" s="6" t="s">
        <v>265</v>
      </c>
      <c r="N33" s="6" t="s">
        <v>57</v>
      </c>
      <c r="O33" s="6" t="s">
        <v>54</v>
      </c>
      <c r="P33" s="6" t="s">
        <v>74</v>
      </c>
      <c r="Q33" s="6" t="s">
        <v>266</v>
      </c>
      <c r="R33" s="6" t="s">
        <v>267</v>
      </c>
      <c r="S33" s="6" t="s">
        <v>268</v>
      </c>
      <c r="T33" s="6" t="s">
        <v>269</v>
      </c>
      <c r="U33" s="6" t="s">
        <v>23</v>
      </c>
      <c r="V33" s="6" t="s">
        <v>38</v>
      </c>
    </row>
    <row r="34" spans="1:22" s="6" customFormat="1" ht="13.2" x14ac:dyDescent="0.25">
      <c r="A34" s="16" t="b">
        <f>TRUE()</f>
        <v>1</v>
      </c>
      <c r="B34" s="7" t="s">
        <v>270</v>
      </c>
      <c r="C34" s="8" t="str">
        <f>IFERROR(VLOOKUP($B34,Pinouts!$A$4:$R$227,9,FALSE()),"")</f>
        <v>F5</v>
      </c>
      <c r="D34" s="8" t="s">
        <v>271</v>
      </c>
      <c r="E34" s="8" t="s">
        <v>3</v>
      </c>
      <c r="F34" s="6" t="str">
        <f>IFERROR(VLOOKUP($B34,Pinouts!$A$5:$R$227,3,FALSE()),"")</f>
        <v>-</v>
      </c>
      <c r="G34" s="6" t="s">
        <v>23</v>
      </c>
      <c r="H34" s="6" t="s">
        <v>272</v>
      </c>
      <c r="I34" s="6" t="s">
        <v>273</v>
      </c>
      <c r="J34" s="6" t="s">
        <v>255</v>
      </c>
      <c r="K34" s="12" t="s">
        <v>256</v>
      </c>
      <c r="L34" s="6" t="s">
        <v>192</v>
      </c>
      <c r="M34" s="6" t="s">
        <v>257</v>
      </c>
      <c r="N34" s="6" t="s">
        <v>274</v>
      </c>
      <c r="O34" s="6" t="s">
        <v>47</v>
      </c>
      <c r="P34" s="6" t="s">
        <v>66</v>
      </c>
      <c r="Q34" s="6" t="s">
        <v>275</v>
      </c>
      <c r="R34" s="6" t="s">
        <v>276</v>
      </c>
      <c r="S34" s="6" t="s">
        <v>277</v>
      </c>
      <c r="T34" s="6" t="s">
        <v>278</v>
      </c>
      <c r="U34" s="6" t="s">
        <v>23</v>
      </c>
      <c r="V34" s="6" t="s">
        <v>38</v>
      </c>
    </row>
    <row r="35" spans="1:22" s="6" customFormat="1" ht="13.2" x14ac:dyDescent="0.25">
      <c r="A35" s="16" t="b">
        <f>TRUE()</f>
        <v>1</v>
      </c>
      <c r="B35" s="7" t="s">
        <v>279</v>
      </c>
      <c r="C35" s="8" t="str">
        <f>IFERROR(VLOOKUP($B35,Pinouts!$A$4:$R$227,9,FALSE()),"")</f>
        <v>E5</v>
      </c>
      <c r="D35" s="8" t="s">
        <v>280</v>
      </c>
      <c r="E35" s="8" t="s">
        <v>3</v>
      </c>
      <c r="F35" s="6" t="str">
        <f>IFERROR(VLOOKUP($B35,Pinouts!$A$5:$R$227,3,FALSE()),"")</f>
        <v>-</v>
      </c>
      <c r="G35" s="6" t="s">
        <v>23</v>
      </c>
      <c r="H35" s="6" t="s">
        <v>281</v>
      </c>
      <c r="I35" s="6" t="s">
        <v>282</v>
      </c>
      <c r="J35" s="6" t="s">
        <v>263</v>
      </c>
      <c r="K35" s="12" t="s">
        <v>264</v>
      </c>
      <c r="L35" s="6" t="s">
        <v>283</v>
      </c>
      <c r="M35" s="6" t="s">
        <v>265</v>
      </c>
      <c r="N35" s="6" t="s">
        <v>284</v>
      </c>
      <c r="O35" s="6" t="s">
        <v>33</v>
      </c>
      <c r="P35" s="6" t="s">
        <v>74</v>
      </c>
      <c r="Q35" s="6" t="s">
        <v>266</v>
      </c>
      <c r="R35" s="6" t="s">
        <v>267</v>
      </c>
      <c r="S35" s="6" t="s">
        <v>285</v>
      </c>
      <c r="T35" s="6" t="s">
        <v>244</v>
      </c>
      <c r="U35" s="6" t="s">
        <v>23</v>
      </c>
      <c r="V35" s="6" t="s">
        <v>38</v>
      </c>
    </row>
    <row r="36" spans="1:22" s="6" customFormat="1" ht="13.2" x14ac:dyDescent="0.25">
      <c r="A36" s="16" t="b">
        <f>TRUE()</f>
        <v>1</v>
      </c>
      <c r="B36" s="7" t="s">
        <v>286</v>
      </c>
      <c r="C36" s="8" t="str">
        <f>IFERROR(VLOOKUP($B36,Pinouts!$A$4:$R$227,9,FALSE()),"")</f>
        <v>J2</v>
      </c>
      <c r="D36" s="8" t="s">
        <v>287</v>
      </c>
      <c r="E36" s="8" t="s">
        <v>3</v>
      </c>
      <c r="F36" s="12" t="str">
        <f>IFERROR(VLOOKUP($B36,Pinouts!$A$5:$R$227,3,FALSE()),"")</f>
        <v>ADC12_INP10</v>
      </c>
      <c r="G36" s="6" t="s">
        <v>23</v>
      </c>
      <c r="H36" s="6" t="s">
        <v>240</v>
      </c>
      <c r="I36" s="6" t="s">
        <v>23</v>
      </c>
      <c r="J36" s="6" t="s">
        <v>23</v>
      </c>
      <c r="K36" s="6" t="s">
        <v>23</v>
      </c>
      <c r="L36" s="6" t="s">
        <v>23</v>
      </c>
      <c r="M36" s="6" t="s">
        <v>288</v>
      </c>
      <c r="N36" s="6" t="s">
        <v>191</v>
      </c>
      <c r="O36" s="6" t="s">
        <v>73</v>
      </c>
      <c r="P36" s="6" t="s">
        <v>289</v>
      </c>
      <c r="Q36" s="6" t="s">
        <v>290</v>
      </c>
      <c r="R36" s="6" t="s">
        <v>23</v>
      </c>
      <c r="S36" s="6" t="s">
        <v>143</v>
      </c>
      <c r="T36" s="6" t="s">
        <v>23</v>
      </c>
      <c r="U36" s="6" t="s">
        <v>23</v>
      </c>
      <c r="V36" s="6" t="s">
        <v>38</v>
      </c>
    </row>
    <row r="37" spans="1:22" s="6" customFormat="1" ht="13.2" x14ac:dyDescent="0.25">
      <c r="A37" s="16" t="b">
        <f>TRUE()</f>
        <v>1</v>
      </c>
      <c r="B37" s="7" t="s">
        <v>291</v>
      </c>
      <c r="C37" s="8" t="str">
        <f>IFERROR(VLOOKUP($B37,Pinouts!$A$4:$R$227,9,FALSE()),"")</f>
        <v>J3</v>
      </c>
      <c r="D37" s="8" t="s">
        <v>292</v>
      </c>
      <c r="E37" s="8" t="s">
        <v>3</v>
      </c>
      <c r="F37" s="6" t="str">
        <f>IFERROR(VLOOKUP($B37,Pinouts!$A$5:$R$227,3,FALSE()),"")</f>
        <v>ADC12_INP11, ADC12_INN10, TAMP_IN3,TAMP_OUT5, WKUP6</v>
      </c>
      <c r="G37" s="6" t="s">
        <v>293</v>
      </c>
      <c r="H37" s="6" t="s">
        <v>23</v>
      </c>
      <c r="I37" s="6" t="s">
        <v>224</v>
      </c>
      <c r="J37" s="6" t="s">
        <v>23</v>
      </c>
      <c r="K37" s="6" t="s">
        <v>23</v>
      </c>
      <c r="L37" s="6" t="s">
        <v>216</v>
      </c>
      <c r="M37" s="6" t="s">
        <v>227</v>
      </c>
      <c r="N37" s="6" t="s">
        <v>294</v>
      </c>
      <c r="O37" s="6" t="s">
        <v>295</v>
      </c>
      <c r="P37" s="6" t="s">
        <v>296</v>
      </c>
      <c r="Q37" s="6" t="s">
        <v>297</v>
      </c>
      <c r="R37" s="12" t="s">
        <v>298</v>
      </c>
      <c r="S37" s="6" t="s">
        <v>23</v>
      </c>
      <c r="T37" s="6" t="s">
        <v>23</v>
      </c>
      <c r="U37" s="6" t="s">
        <v>23</v>
      </c>
      <c r="V37" s="6" t="s">
        <v>38</v>
      </c>
    </row>
    <row r="38" spans="1:22" s="6" customFormat="1" ht="13.2" x14ac:dyDescent="0.25">
      <c r="A38" s="16" t="b">
        <f>FALSE()</f>
        <v>0</v>
      </c>
      <c r="B38" s="7" t="s">
        <v>299</v>
      </c>
      <c r="C38" s="8" t="str">
        <f>IFERROR(VLOOKUP($B38,Pinouts!$A$4:$R$227,9,FALSE()),"")</f>
        <v>A10</v>
      </c>
      <c r="D38" s="8"/>
      <c r="E38" s="8" t="s">
        <v>3</v>
      </c>
      <c r="F38" s="6" t="str">
        <f>IFERROR(VLOOKUP($B38,Pinouts!$A$5:$R$227,3,FALSE()),"")</f>
        <v>-</v>
      </c>
      <c r="G38" s="6" t="s">
        <v>23</v>
      </c>
      <c r="H38" s="6" t="s">
        <v>23</v>
      </c>
      <c r="I38" s="6" t="s">
        <v>211</v>
      </c>
      <c r="J38" s="6" t="s">
        <v>23</v>
      </c>
      <c r="K38" s="6" t="s">
        <v>23</v>
      </c>
      <c r="L38" s="6" t="s">
        <v>23</v>
      </c>
      <c r="M38" s="6" t="s">
        <v>233</v>
      </c>
      <c r="N38" s="6" t="s">
        <v>184</v>
      </c>
      <c r="O38" s="12" t="s">
        <v>33</v>
      </c>
      <c r="P38" s="6" t="s">
        <v>300</v>
      </c>
      <c r="Q38" s="6" t="s">
        <v>23</v>
      </c>
      <c r="R38" s="6" t="s">
        <v>199</v>
      </c>
      <c r="S38" s="6" t="s">
        <v>301</v>
      </c>
      <c r="T38" s="6" t="s">
        <v>302</v>
      </c>
      <c r="U38" s="6" t="s">
        <v>23</v>
      </c>
      <c r="V38" s="6" t="s">
        <v>38</v>
      </c>
    </row>
    <row r="39" spans="1:22" s="6" customFormat="1" ht="13.2" x14ac:dyDescent="0.25">
      <c r="A39" s="16" t="b">
        <f>FALSE()</f>
        <v>0</v>
      </c>
      <c r="B39" s="7" t="s">
        <v>303</v>
      </c>
      <c r="C39" s="8" t="str">
        <f>IFERROR(VLOOKUP($B39,Pinouts!$A$4:$R$227,9,FALSE()),"")</f>
        <v>A9</v>
      </c>
      <c r="D39" s="8"/>
      <c r="E39" s="8" t="s">
        <v>3</v>
      </c>
      <c r="F39" s="6" t="str">
        <f>IFERROR(VLOOKUP($B39,Pinouts!$A$5:$R$227,3,FALSE()),"")</f>
        <v>-</v>
      </c>
      <c r="G39" s="6" t="s">
        <v>23</v>
      </c>
      <c r="H39" s="6" t="s">
        <v>23</v>
      </c>
      <c r="I39" s="6" t="s">
        <v>202</v>
      </c>
      <c r="J39" s="6" t="s">
        <v>23</v>
      </c>
      <c r="K39" s="6" t="s">
        <v>23</v>
      </c>
      <c r="L39" s="6" t="s">
        <v>23</v>
      </c>
      <c r="M39" s="6" t="s">
        <v>242</v>
      </c>
      <c r="N39" s="6" t="s">
        <v>193</v>
      </c>
      <c r="O39" s="12" t="s">
        <v>47</v>
      </c>
      <c r="P39" s="6" t="s">
        <v>185</v>
      </c>
      <c r="Q39" s="6" t="s">
        <v>23</v>
      </c>
      <c r="R39" s="6" t="s">
        <v>23</v>
      </c>
      <c r="S39" s="6" t="s">
        <v>304</v>
      </c>
      <c r="T39" s="6" t="s">
        <v>305</v>
      </c>
      <c r="U39" s="6" t="s">
        <v>23</v>
      </c>
      <c r="V39" s="6" t="s">
        <v>38</v>
      </c>
    </row>
    <row r="40" spans="1:22" s="6" customFormat="1" ht="13.2" x14ac:dyDescent="0.25">
      <c r="A40" s="16" t="b">
        <f>FALSE()</f>
        <v>0</v>
      </c>
      <c r="B40" s="7" t="s">
        <v>306</v>
      </c>
      <c r="C40" s="8" t="str">
        <f>IFERROR(VLOOKUP($B40,Pinouts!$A$4:$R$227,9,FALSE()),"")</f>
        <v>D9</v>
      </c>
      <c r="D40" s="8"/>
      <c r="E40" s="8" t="s">
        <v>3</v>
      </c>
      <c r="F40" s="6" t="str">
        <f>IFERROR(VLOOKUP($B40,Pinouts!$A$5:$R$227,3,FALSE()),"")</f>
        <v>-</v>
      </c>
      <c r="G40" s="6" t="s">
        <v>307</v>
      </c>
      <c r="H40" s="6" t="s">
        <v>23</v>
      </c>
      <c r="I40" s="6" t="s">
        <v>97</v>
      </c>
      <c r="J40" s="6" t="s">
        <v>23</v>
      </c>
      <c r="K40" s="6" t="s">
        <v>23</v>
      </c>
      <c r="L40" s="6" t="s">
        <v>121</v>
      </c>
      <c r="M40" s="6" t="s">
        <v>228</v>
      </c>
      <c r="N40" s="6" t="s">
        <v>197</v>
      </c>
      <c r="O40" s="6" t="s">
        <v>205</v>
      </c>
      <c r="P40" s="6" t="s">
        <v>23</v>
      </c>
      <c r="Q40" s="6" t="s">
        <v>23</v>
      </c>
      <c r="R40" s="6" t="s">
        <v>23</v>
      </c>
      <c r="S40" s="6" t="s">
        <v>308</v>
      </c>
      <c r="T40" s="6" t="s">
        <v>309</v>
      </c>
      <c r="U40" s="6" t="s">
        <v>23</v>
      </c>
      <c r="V40" s="6" t="s">
        <v>38</v>
      </c>
    </row>
    <row r="41" spans="1:22" s="6" customFormat="1" ht="13.2" x14ac:dyDescent="0.25">
      <c r="A41" s="16" t="b">
        <f>FALSE()</f>
        <v>0</v>
      </c>
      <c r="B41" s="7" t="s">
        <v>310</v>
      </c>
      <c r="C41" s="8" t="str">
        <f>IFERROR(VLOOKUP($B41,Pinouts!$A$4:$R$227,9,FALSE()),"")</f>
        <v>E3</v>
      </c>
      <c r="D41" s="8"/>
      <c r="E41" s="8" t="s">
        <v>3</v>
      </c>
      <c r="F41" s="6" t="str">
        <f>IFERROR(VLOOKUP($B41,Pinouts!$A$5:$R$227,3,FALSE()),"")</f>
        <v>TAMP_IN1,TAMP_OUT2,RTC_OUT1,TAMP_OUT3, WKUP4, RTC_TS</v>
      </c>
      <c r="G41" s="6" t="s">
        <v>23</v>
      </c>
      <c r="H41" s="6" t="s">
        <v>23</v>
      </c>
      <c r="I41" s="6" t="s">
        <v>23</v>
      </c>
      <c r="J41" s="6" t="s">
        <v>23</v>
      </c>
      <c r="K41" s="6" t="s">
        <v>23</v>
      </c>
      <c r="L41" s="6" t="s">
        <v>23</v>
      </c>
      <c r="M41" s="6" t="s">
        <v>23</v>
      </c>
      <c r="N41" s="6" t="s">
        <v>23</v>
      </c>
      <c r="O41" s="6" t="s">
        <v>23</v>
      </c>
      <c r="P41" s="6" t="s">
        <v>23</v>
      </c>
      <c r="Q41" s="6" t="s">
        <v>23</v>
      </c>
      <c r="R41" s="6" t="s">
        <v>23</v>
      </c>
      <c r="S41" s="6" t="s">
        <v>23</v>
      </c>
      <c r="T41" s="6" t="s">
        <v>23</v>
      </c>
      <c r="U41" s="6" t="s">
        <v>23</v>
      </c>
      <c r="V41" s="6" t="s">
        <v>38</v>
      </c>
    </row>
    <row r="42" spans="1:22" s="6" customFormat="1" ht="13.2" x14ac:dyDescent="0.25">
      <c r="A42" s="16" t="b">
        <f>FALSE()</f>
        <v>0</v>
      </c>
      <c r="B42" s="7" t="s">
        <v>311</v>
      </c>
      <c r="C42" s="8" t="str">
        <f>IFERROR(VLOOKUP($B42,Pinouts!$A$4:$R$227,9,FALSE()),"")</f>
        <v>D1</v>
      </c>
      <c r="D42" s="8"/>
      <c r="E42" s="8" t="s">
        <v>3</v>
      </c>
      <c r="F42" s="6" t="str">
        <f>IFERROR(VLOOKUP($B42,Pinouts!$A$5:$R$227,3,FALSE()),"")</f>
        <v>OSC32_IN</v>
      </c>
      <c r="G42" s="6" t="s">
        <v>23</v>
      </c>
      <c r="H42" s="6" t="s">
        <v>23</v>
      </c>
      <c r="I42" s="6" t="s">
        <v>23</v>
      </c>
      <c r="J42" s="6" t="s">
        <v>23</v>
      </c>
      <c r="K42" s="6" t="s">
        <v>23</v>
      </c>
      <c r="L42" s="6" t="s">
        <v>23</v>
      </c>
      <c r="M42" s="6" t="s">
        <v>23</v>
      </c>
      <c r="N42" s="6" t="s">
        <v>23</v>
      </c>
      <c r="O42" s="6" t="s">
        <v>23</v>
      </c>
      <c r="P42" s="6" t="s">
        <v>23</v>
      </c>
      <c r="Q42" s="6" t="s">
        <v>23</v>
      </c>
      <c r="R42" s="6" t="s">
        <v>23</v>
      </c>
      <c r="S42" s="6" t="s">
        <v>23</v>
      </c>
      <c r="T42" s="6" t="s">
        <v>23</v>
      </c>
      <c r="U42" s="6" t="s">
        <v>23</v>
      </c>
      <c r="V42" s="6" t="s">
        <v>38</v>
      </c>
    </row>
    <row r="43" spans="1:22" s="6" customFormat="1" ht="13.2" x14ac:dyDescent="0.25">
      <c r="A43" s="16" t="b">
        <f>FALSE()</f>
        <v>0</v>
      </c>
      <c r="B43" s="7" t="s">
        <v>312</v>
      </c>
      <c r="C43" s="8" t="str">
        <f>IFERROR(VLOOKUP($B43,Pinouts!$A$4:$R$227,9,FALSE()),"")</f>
        <v>E1</v>
      </c>
      <c r="D43" s="8"/>
      <c r="E43" s="8" t="s">
        <v>3</v>
      </c>
      <c r="F43" s="6" t="str">
        <f>IFERROR(VLOOKUP($B43,Pinouts!$A$5:$R$227,3,FALSE()),"")</f>
        <v>OSC32_OUT</v>
      </c>
      <c r="G43" s="6" t="s">
        <v>23</v>
      </c>
      <c r="H43" s="6" t="s">
        <v>23</v>
      </c>
      <c r="I43" s="6" t="s">
        <v>23</v>
      </c>
      <c r="J43" s="6" t="s">
        <v>23</v>
      </c>
      <c r="K43" s="6" t="s">
        <v>23</v>
      </c>
      <c r="L43" s="6" t="s">
        <v>23</v>
      </c>
      <c r="M43" s="6" t="s">
        <v>23</v>
      </c>
      <c r="N43" s="6" t="s">
        <v>23</v>
      </c>
      <c r="O43" s="6" t="s">
        <v>23</v>
      </c>
      <c r="P43" s="6" t="s">
        <v>23</v>
      </c>
      <c r="Q43" s="6" t="s">
        <v>23</v>
      </c>
      <c r="R43" s="6" t="s">
        <v>23</v>
      </c>
      <c r="S43" s="6" t="s">
        <v>23</v>
      </c>
      <c r="T43" s="6" t="s">
        <v>23</v>
      </c>
      <c r="U43" s="6" t="s">
        <v>23</v>
      </c>
      <c r="V43" s="6" t="s">
        <v>38</v>
      </c>
    </row>
    <row r="44" spans="1:22" s="6" customFormat="1" ht="13.2" x14ac:dyDescent="0.25">
      <c r="A44" s="16" t="b">
        <f>FALSE()</f>
        <v>0</v>
      </c>
      <c r="B44" s="7" t="s">
        <v>313</v>
      </c>
      <c r="C44" s="8" t="str">
        <f>IFERROR(VLOOKUP($B44,Pinouts!$A$4:$R$227,9,FALSE()),"")</f>
        <v>K1</v>
      </c>
      <c r="D44" s="8"/>
      <c r="E44" s="8" t="s">
        <v>3</v>
      </c>
      <c r="F44" s="10" t="str">
        <f>IFERROR(VLOOKUP($B44,Pinouts!$A$5:$R$227,3,FALSE()),"")</f>
        <v>ADC12_INP12, ADC12_INN11</v>
      </c>
      <c r="G44" s="6" t="s">
        <v>314</v>
      </c>
      <c r="H44" s="6" t="s">
        <v>281</v>
      </c>
      <c r="I44" s="6" t="s">
        <v>282</v>
      </c>
      <c r="J44" s="6" t="s">
        <v>23</v>
      </c>
      <c r="K44" s="6" t="s">
        <v>23</v>
      </c>
      <c r="L44" s="6" t="s">
        <v>208</v>
      </c>
      <c r="M44" s="6" t="s">
        <v>315</v>
      </c>
      <c r="N44" s="6" t="s">
        <v>23</v>
      </c>
      <c r="O44" s="6" t="s">
        <v>23</v>
      </c>
      <c r="P44" s="6" t="s">
        <v>141</v>
      </c>
      <c r="Q44" s="6" t="s">
        <v>23</v>
      </c>
      <c r="R44" s="6" t="s">
        <v>316</v>
      </c>
      <c r="S44" s="6" t="s">
        <v>317</v>
      </c>
      <c r="T44" s="6" t="s">
        <v>23</v>
      </c>
      <c r="U44" s="6" t="s">
        <v>23</v>
      </c>
      <c r="V44" s="6" t="s">
        <v>38</v>
      </c>
    </row>
    <row r="45" spans="1:22" s="6" customFormat="1" ht="13.2" x14ac:dyDescent="0.25">
      <c r="A45" s="16" t="b">
        <f>FALSE()</f>
        <v>0</v>
      </c>
      <c r="B45" s="7" t="s">
        <v>318</v>
      </c>
      <c r="C45" s="8" t="str">
        <f>IFERROR(VLOOKUP($B45,Pinouts!$A$4:$R$227,9,FALSE()),"")</f>
        <v>K2</v>
      </c>
      <c r="D45" s="8"/>
      <c r="E45" s="8" t="s">
        <v>3</v>
      </c>
      <c r="F45" s="10" t="str">
        <f>IFERROR(VLOOKUP($B45,Pinouts!$A$5:$R$227,3,FALSE()),"")</f>
        <v>ADC12_INP13, ADC12_INN12</v>
      </c>
      <c r="G45" s="6" t="s">
        <v>319</v>
      </c>
      <c r="H45" s="6" t="s">
        <v>23</v>
      </c>
      <c r="I45" s="6" t="s">
        <v>320</v>
      </c>
      <c r="J45" s="6" t="s">
        <v>172</v>
      </c>
      <c r="K45" s="6" t="s">
        <v>23</v>
      </c>
      <c r="L45" s="6" t="s">
        <v>216</v>
      </c>
      <c r="M45" s="6" t="s">
        <v>321</v>
      </c>
      <c r="N45" s="6" t="s">
        <v>23</v>
      </c>
      <c r="O45" s="6" t="s">
        <v>23</v>
      </c>
      <c r="P45" s="6" t="s">
        <v>177</v>
      </c>
      <c r="Q45" s="6" t="s">
        <v>23</v>
      </c>
      <c r="R45" s="6" t="s">
        <v>322</v>
      </c>
      <c r="S45" s="6" t="s">
        <v>323</v>
      </c>
      <c r="T45" s="6" t="s">
        <v>23</v>
      </c>
      <c r="U45" s="6" t="s">
        <v>23</v>
      </c>
      <c r="V45" s="6" t="s">
        <v>38</v>
      </c>
    </row>
    <row r="46" spans="1:22" s="6" customFormat="1" ht="13.2" x14ac:dyDescent="0.25">
      <c r="A46" s="16" t="b">
        <f>TRUE()</f>
        <v>1</v>
      </c>
      <c r="B46" s="7" t="s">
        <v>324</v>
      </c>
      <c r="C46" s="8" t="str">
        <f>IFERROR(VLOOKUP($B46,Pinouts!$A$4:$R$227,9,FALSE()),"")</f>
        <v>L5</v>
      </c>
      <c r="D46" s="8" t="s">
        <v>325</v>
      </c>
      <c r="E46" s="8" t="s">
        <v>3</v>
      </c>
      <c r="F46" s="6" t="str">
        <f>IFERROR(VLOOKUP($B46,Pinouts!$A$5:$R$227,3,FALSE()),"")</f>
        <v>ADC12_INP4</v>
      </c>
      <c r="G46" s="6" t="s">
        <v>23</v>
      </c>
      <c r="H46" s="6" t="s">
        <v>104</v>
      </c>
      <c r="I46" s="6" t="s">
        <v>326</v>
      </c>
      <c r="J46" s="6" t="s">
        <v>189</v>
      </c>
      <c r="K46" s="6" t="s">
        <v>23</v>
      </c>
      <c r="L46" s="6" t="s">
        <v>327</v>
      </c>
      <c r="M46" s="6" t="s">
        <v>23</v>
      </c>
      <c r="N46" s="6" t="s">
        <v>193</v>
      </c>
      <c r="O46" s="6" t="s">
        <v>23</v>
      </c>
      <c r="P46" s="6" t="s">
        <v>23</v>
      </c>
      <c r="R46" s="12" t="s">
        <v>328</v>
      </c>
      <c r="S46" s="6" t="s">
        <v>317</v>
      </c>
      <c r="T46" s="6" t="s">
        <v>23</v>
      </c>
      <c r="U46" s="6" t="s">
        <v>23</v>
      </c>
      <c r="V46" s="6" t="s">
        <v>38</v>
      </c>
    </row>
    <row r="47" spans="1:22" s="6" customFormat="1" ht="13.2" x14ac:dyDescent="0.25">
      <c r="A47" s="16" t="b">
        <f>TRUE()</f>
        <v>1</v>
      </c>
      <c r="B47" s="7" t="s">
        <v>329</v>
      </c>
      <c r="C47" s="8" t="str">
        <f>IFERROR(VLOOKUP($B47,Pinouts!$A$4:$R$227,9,FALSE()),"")</f>
        <v>M5</v>
      </c>
      <c r="D47" s="8" t="s">
        <v>330</v>
      </c>
      <c r="E47" s="8" t="s">
        <v>3</v>
      </c>
      <c r="F47" s="6" t="str">
        <f>IFERROR(VLOOKUP($B47,Pinouts!$A$5:$R$227,3,FALSE()),"")</f>
        <v>ADC12_INP8, ADC12_INN4</v>
      </c>
      <c r="G47" s="6" t="s">
        <v>23</v>
      </c>
      <c r="H47" s="6" t="s">
        <v>331</v>
      </c>
      <c r="I47" s="6" t="s">
        <v>320</v>
      </c>
      <c r="J47" s="6" t="s">
        <v>23</v>
      </c>
      <c r="K47" s="6" t="s">
        <v>332</v>
      </c>
      <c r="L47" s="6" t="s">
        <v>23</v>
      </c>
      <c r="M47" s="6" t="s">
        <v>333</v>
      </c>
      <c r="N47" s="6" t="s">
        <v>334</v>
      </c>
      <c r="O47" s="6" t="s">
        <v>23</v>
      </c>
      <c r="P47" s="6" t="s">
        <v>23</v>
      </c>
      <c r="Q47" s="6" t="s">
        <v>45</v>
      </c>
      <c r="R47" s="12" t="s">
        <v>335</v>
      </c>
      <c r="S47" s="6" t="s">
        <v>323</v>
      </c>
      <c r="T47" s="6" t="s">
        <v>23</v>
      </c>
      <c r="U47" s="6" t="s">
        <v>23</v>
      </c>
      <c r="V47" s="6" t="s">
        <v>38</v>
      </c>
    </row>
    <row r="48" spans="1:22" s="6" customFormat="1" ht="13.2" x14ac:dyDescent="0.25">
      <c r="A48" s="16" t="b">
        <f>FALSE()</f>
        <v>0</v>
      </c>
      <c r="B48" s="7" t="s">
        <v>336</v>
      </c>
      <c r="C48" s="8" t="str">
        <f>IFERROR(VLOOKUP($B48,Pinouts!$A$4:$R$227,9,FALSE()),"")</f>
        <v>F10</v>
      </c>
      <c r="D48" s="8"/>
      <c r="E48" s="8" t="s">
        <v>3</v>
      </c>
      <c r="F48" s="6" t="str">
        <f>IFERROR(VLOOKUP($B48,Pinouts!$A$5:$R$227,3,FALSE()),"")</f>
        <v>-</v>
      </c>
      <c r="G48" s="6" t="s">
        <v>23</v>
      </c>
      <c r="H48" s="6" t="s">
        <v>23</v>
      </c>
      <c r="I48" s="6" t="s">
        <v>126</v>
      </c>
      <c r="J48" s="10" t="s">
        <v>337</v>
      </c>
      <c r="K48" s="6" t="s">
        <v>23</v>
      </c>
      <c r="L48" s="6" t="s">
        <v>338</v>
      </c>
      <c r="M48" s="6" t="s">
        <v>339</v>
      </c>
      <c r="N48" s="6" t="s">
        <v>340</v>
      </c>
      <c r="O48" s="6" t="s">
        <v>341</v>
      </c>
      <c r="P48" s="6" t="s">
        <v>342</v>
      </c>
      <c r="Q48" s="6" t="s">
        <v>343</v>
      </c>
      <c r="R48" s="6" t="s">
        <v>315</v>
      </c>
      <c r="S48" s="6" t="s">
        <v>344</v>
      </c>
      <c r="T48" s="6" t="s">
        <v>163</v>
      </c>
      <c r="U48" s="6" t="s">
        <v>23</v>
      </c>
      <c r="V48" s="6" t="s">
        <v>38</v>
      </c>
    </row>
    <row r="49" spans="1:22" s="6" customFormat="1" ht="13.2" x14ac:dyDescent="0.25">
      <c r="A49" s="16" t="b">
        <f>TRUE()</f>
        <v>1</v>
      </c>
      <c r="B49" s="7" t="s">
        <v>345</v>
      </c>
      <c r="C49" s="8" t="str">
        <f>IFERROR(VLOOKUP($B49,Pinouts!$A$4:$R$227,9,FALSE()),"")</f>
        <v>F11</v>
      </c>
      <c r="D49" s="8" t="s">
        <v>383</v>
      </c>
      <c r="E49" s="8" t="s">
        <v>3</v>
      </c>
      <c r="F49" s="6" t="str">
        <f>IFERROR(VLOOKUP($B49,Pinouts!$A$5:$R$227,3,FALSE()),"")</f>
        <v>-</v>
      </c>
      <c r="G49" s="6" t="s">
        <v>346</v>
      </c>
      <c r="H49" s="6" t="s">
        <v>23</v>
      </c>
      <c r="I49" s="6" t="s">
        <v>136</v>
      </c>
      <c r="J49" s="12" t="s">
        <v>347</v>
      </c>
      <c r="K49" s="6" t="s">
        <v>23</v>
      </c>
      <c r="L49" s="6" t="s">
        <v>23</v>
      </c>
      <c r="M49" s="6" t="s">
        <v>348</v>
      </c>
      <c r="N49" s="6" t="s">
        <v>349</v>
      </c>
      <c r="O49" s="6" t="s">
        <v>350</v>
      </c>
      <c r="P49" s="6" t="s">
        <v>351</v>
      </c>
      <c r="Q49" s="6" t="s">
        <v>352</v>
      </c>
      <c r="R49" s="6" t="s">
        <v>321</v>
      </c>
      <c r="S49" s="6" t="s">
        <v>353</v>
      </c>
      <c r="T49" s="6" t="s">
        <v>60</v>
      </c>
      <c r="U49" s="6" t="s">
        <v>23</v>
      </c>
      <c r="V49" s="6" t="s">
        <v>38</v>
      </c>
    </row>
    <row r="50" spans="1:22" s="6" customFormat="1" ht="13.2" x14ac:dyDescent="0.25">
      <c r="A50" s="16" t="b">
        <f>FALSE()</f>
        <v>0</v>
      </c>
      <c r="B50" s="7" t="s">
        <v>354</v>
      </c>
      <c r="C50" s="8" t="str">
        <f>IFERROR(VLOOKUP($B50,Pinouts!$A$4:$R$227,9,FALSE()),"")</f>
        <v>E9</v>
      </c>
      <c r="D50" s="8"/>
      <c r="E50" s="8" t="s">
        <v>3</v>
      </c>
      <c r="F50" s="6" t="str">
        <f>IFERROR(VLOOKUP($B50,Pinouts!$A$5:$R$227,3,FALSE()),"")</f>
        <v>-</v>
      </c>
      <c r="G50" s="6" t="s">
        <v>355</v>
      </c>
      <c r="H50" s="6" t="s">
        <v>23</v>
      </c>
      <c r="I50" s="6" t="s">
        <v>166</v>
      </c>
      <c r="J50" s="6" t="s">
        <v>356</v>
      </c>
      <c r="K50" s="6" t="s">
        <v>23</v>
      </c>
      <c r="L50" s="6" t="s">
        <v>23</v>
      </c>
      <c r="M50" s="6" t="s">
        <v>23</v>
      </c>
      <c r="N50" s="6" t="s">
        <v>357</v>
      </c>
      <c r="O50" s="6" t="s">
        <v>358</v>
      </c>
      <c r="P50" s="6" t="s">
        <v>359</v>
      </c>
      <c r="Q50" s="6" t="s">
        <v>360</v>
      </c>
      <c r="R50" s="6" t="s">
        <v>361</v>
      </c>
      <c r="S50" s="6" t="s">
        <v>59</v>
      </c>
      <c r="T50" s="6" t="s">
        <v>220</v>
      </c>
      <c r="U50" s="6" t="s">
        <v>23</v>
      </c>
      <c r="V50" s="6" t="s">
        <v>38</v>
      </c>
    </row>
    <row r="51" spans="1:22" s="6" customFormat="1" ht="13.2" x14ac:dyDescent="0.25">
      <c r="A51" s="16" t="b">
        <f>TRUE()</f>
        <v>1</v>
      </c>
      <c r="B51" s="7" t="s">
        <v>362</v>
      </c>
      <c r="C51" s="8" t="str">
        <f>IFERROR(VLOOKUP($B51,Pinouts!$A$4:$R$227,9,FALSE()),"")</f>
        <v>F12</v>
      </c>
      <c r="D51" s="8" t="s">
        <v>40</v>
      </c>
      <c r="E51" s="8" t="s">
        <v>3</v>
      </c>
      <c r="F51" s="6" t="str">
        <f>IFERROR(VLOOKUP($B51,Pinouts!$A$5:$R$227,3,FALSE()),"")</f>
        <v>UCPD1_DB2</v>
      </c>
      <c r="G51" s="12" t="s">
        <v>363</v>
      </c>
      <c r="H51" s="6" t="s">
        <v>23</v>
      </c>
      <c r="I51" s="6" t="s">
        <v>175</v>
      </c>
      <c r="J51" s="6" t="s">
        <v>364</v>
      </c>
      <c r="K51" s="6" t="s">
        <v>365</v>
      </c>
      <c r="L51" s="6" t="s">
        <v>366</v>
      </c>
      <c r="M51" s="6" t="s">
        <v>23</v>
      </c>
      <c r="N51" s="6" t="s">
        <v>23</v>
      </c>
      <c r="O51" s="6" t="s">
        <v>367</v>
      </c>
      <c r="P51" s="6" t="s">
        <v>177</v>
      </c>
      <c r="Q51" s="6" t="s">
        <v>23</v>
      </c>
      <c r="R51" s="6" t="s">
        <v>368</v>
      </c>
      <c r="S51" s="6" t="s">
        <v>369</v>
      </c>
      <c r="T51" s="6" t="s">
        <v>155</v>
      </c>
      <c r="U51" s="6" t="s">
        <v>23</v>
      </c>
      <c r="V51" s="6" t="s">
        <v>38</v>
      </c>
    </row>
    <row r="52" spans="1:22" s="6" customFormat="1" ht="13.2" x14ac:dyDescent="0.25">
      <c r="A52" s="16" t="b">
        <f>TRUE()</f>
        <v>1</v>
      </c>
      <c r="B52" s="7" t="s">
        <v>370</v>
      </c>
      <c r="C52" s="8" t="str">
        <f>IFERROR(VLOOKUP($B52,Pinouts!$A$4:$R$227,9,FALSE()),"")</f>
        <v>C9</v>
      </c>
      <c r="D52" s="8" t="s">
        <v>371</v>
      </c>
      <c r="E52" s="18" t="s">
        <v>3</v>
      </c>
      <c r="F52" s="6" t="str">
        <f>IFERROR(VLOOKUP($B52,Pinouts!$A$5:$R$227,3,FALSE()),"")</f>
        <v>-</v>
      </c>
      <c r="G52" s="6" t="s">
        <v>23</v>
      </c>
      <c r="H52" s="6" t="s">
        <v>23</v>
      </c>
      <c r="I52" s="6" t="s">
        <v>23</v>
      </c>
      <c r="J52" s="6" t="s">
        <v>225</v>
      </c>
      <c r="K52" s="6" t="s">
        <v>23</v>
      </c>
      <c r="L52" s="6" t="s">
        <v>23</v>
      </c>
      <c r="M52" s="6" t="s">
        <v>23</v>
      </c>
      <c r="N52" s="6" t="s">
        <v>23</v>
      </c>
      <c r="O52" s="6" t="s">
        <v>47</v>
      </c>
      <c r="P52" s="6" t="s">
        <v>66</v>
      </c>
      <c r="Q52" s="6" t="s">
        <v>23</v>
      </c>
      <c r="R52" s="6" t="s">
        <v>372</v>
      </c>
      <c r="S52" s="6" t="s">
        <v>373</v>
      </c>
      <c r="T52" s="6" t="s">
        <v>23</v>
      </c>
      <c r="U52" s="6" t="s">
        <v>23</v>
      </c>
      <c r="V52" s="6" t="s">
        <v>38</v>
      </c>
    </row>
    <row r="53" spans="1:22" s="6" customFormat="1" ht="13.2" x14ac:dyDescent="0.25">
      <c r="A53" s="16" t="b">
        <f>TRUE()</f>
        <v>1</v>
      </c>
      <c r="B53" s="7" t="s">
        <v>374</v>
      </c>
      <c r="C53" s="8" t="str">
        <f>IFERROR(VLOOKUP($B53,Pinouts!$A$4:$R$227,9,FALSE()),"")</f>
        <v>B9</v>
      </c>
      <c r="D53" s="8" t="s">
        <v>375</v>
      </c>
      <c r="E53" s="18" t="s">
        <v>3</v>
      </c>
      <c r="F53" s="6" t="str">
        <f>IFERROR(VLOOKUP($B53,Pinouts!$A$5:$R$227,3,FALSE()),"")</f>
        <v>-</v>
      </c>
      <c r="G53" s="6" t="s">
        <v>23</v>
      </c>
      <c r="H53" s="6" t="s">
        <v>23</v>
      </c>
      <c r="I53" s="6" t="s">
        <v>23</v>
      </c>
      <c r="J53" s="6" t="s">
        <v>23</v>
      </c>
      <c r="K53" s="6" t="s">
        <v>23</v>
      </c>
      <c r="L53" s="6" t="s">
        <v>23</v>
      </c>
      <c r="M53" s="6" t="s">
        <v>23</v>
      </c>
      <c r="N53" s="6" t="s">
        <v>23</v>
      </c>
      <c r="O53" s="6" t="s">
        <v>33</v>
      </c>
      <c r="P53" s="6" t="s">
        <v>74</v>
      </c>
      <c r="Q53" s="6" t="s">
        <v>23</v>
      </c>
      <c r="R53" s="6" t="s">
        <v>23</v>
      </c>
      <c r="S53" s="6" t="s">
        <v>376</v>
      </c>
      <c r="T53" s="6" t="s">
        <v>23</v>
      </c>
      <c r="U53" s="6" t="s">
        <v>23</v>
      </c>
      <c r="V53" s="6" t="s">
        <v>38</v>
      </c>
    </row>
    <row r="54" spans="1:22" s="6" customFormat="1" ht="13.2" x14ac:dyDescent="0.25">
      <c r="A54" s="16" t="b">
        <f>FALSE()</f>
        <v>0</v>
      </c>
      <c r="B54" s="7" t="s">
        <v>377</v>
      </c>
      <c r="C54" s="8" t="str">
        <f>IFERROR(VLOOKUP($B54,Pinouts!$A$4:$R$227,9,FALSE()),"")</f>
        <v>K13</v>
      </c>
      <c r="D54" s="8"/>
      <c r="E54" s="8" t="s">
        <v>3</v>
      </c>
      <c r="F54" s="6" t="str">
        <f>IFERROR(VLOOKUP($B54,Pinouts!$A$5:$R$227,3,FALSE()),"")</f>
        <v>-</v>
      </c>
      <c r="G54" s="6" t="s">
        <v>23</v>
      </c>
      <c r="H54" s="6" t="s">
        <v>23</v>
      </c>
      <c r="I54" s="6" t="s">
        <v>23</v>
      </c>
      <c r="J54" s="6" t="s">
        <v>378</v>
      </c>
      <c r="K54" s="6" t="s">
        <v>23</v>
      </c>
      <c r="L54" s="6" t="s">
        <v>23</v>
      </c>
      <c r="M54" s="6" t="s">
        <v>23</v>
      </c>
      <c r="N54" s="6" t="s">
        <v>197</v>
      </c>
      <c r="O54" s="6" t="s">
        <v>23</v>
      </c>
      <c r="P54" s="6" t="s">
        <v>23</v>
      </c>
      <c r="Q54" s="6" t="s">
        <v>23</v>
      </c>
      <c r="R54" s="6" t="s">
        <v>23</v>
      </c>
      <c r="S54" s="6" t="s">
        <v>379</v>
      </c>
      <c r="T54" s="6" t="s">
        <v>23</v>
      </c>
      <c r="U54" s="6" t="s">
        <v>23</v>
      </c>
      <c r="V54" s="6" t="s">
        <v>38</v>
      </c>
    </row>
    <row r="55" spans="1:22" s="6" customFormat="1" ht="13.2" x14ac:dyDescent="0.25">
      <c r="A55" s="16" t="b">
        <f>FALSE()</f>
        <v>0</v>
      </c>
      <c r="B55" s="7" t="s">
        <v>380</v>
      </c>
      <c r="C55" s="8" t="str">
        <f>IFERROR(VLOOKUP($B55,Pinouts!$A$4:$R$227,9,FALSE()),"")</f>
        <v>H8</v>
      </c>
      <c r="D55" s="8"/>
      <c r="E55" s="8" t="s">
        <v>3</v>
      </c>
      <c r="F55" s="6" t="str">
        <f>IFERROR(VLOOKUP($B55,Pinouts!$A$5:$R$227,3,FALSE()),"")</f>
        <v>-</v>
      </c>
      <c r="G55" s="6" t="s">
        <v>23</v>
      </c>
      <c r="H55" s="6" t="s">
        <v>23</v>
      </c>
      <c r="I55" s="6" t="s">
        <v>326</v>
      </c>
      <c r="J55" s="6" t="s">
        <v>55</v>
      </c>
      <c r="K55" s="6" t="s">
        <v>248</v>
      </c>
      <c r="L55" s="6" t="s">
        <v>23</v>
      </c>
      <c r="M55" s="6" t="s">
        <v>23</v>
      </c>
      <c r="N55" s="6" t="s">
        <v>204</v>
      </c>
      <c r="O55" s="6" t="s">
        <v>47</v>
      </c>
      <c r="P55" s="6" t="s">
        <v>177</v>
      </c>
      <c r="Q55" s="6" t="s">
        <v>295</v>
      </c>
      <c r="R55" s="6" t="s">
        <v>23</v>
      </c>
      <c r="S55" s="6" t="s">
        <v>381</v>
      </c>
      <c r="T55" s="6" t="s">
        <v>23</v>
      </c>
      <c r="U55" s="6" t="s">
        <v>23</v>
      </c>
      <c r="V55" s="6" t="s">
        <v>38</v>
      </c>
    </row>
    <row r="56" spans="1:22" s="6" customFormat="1" ht="13.2" x14ac:dyDescent="0.25">
      <c r="A56" s="16" t="b">
        <f>FALSE()</f>
        <v>0</v>
      </c>
      <c r="B56" s="7" t="s">
        <v>382</v>
      </c>
      <c r="C56" s="8" t="str">
        <f>IFERROR(VLOOKUP($B56,Pinouts!$A$4:$R$227,9,FALSE()),"")</f>
        <v>H11</v>
      </c>
      <c r="D56" s="8"/>
      <c r="E56" s="8" t="s">
        <v>3</v>
      </c>
      <c r="F56" s="6" t="str">
        <f>IFERROR(VLOOKUP($B56,Pinouts!$A$5:$R$227,3,FALSE()),"")</f>
        <v>-</v>
      </c>
      <c r="G56" s="6" t="s">
        <v>23</v>
      </c>
      <c r="H56" s="6" t="s">
        <v>44</v>
      </c>
      <c r="I56" s="10" t="s">
        <v>254</v>
      </c>
      <c r="J56" s="6" t="s">
        <v>182</v>
      </c>
      <c r="K56" s="6" t="s">
        <v>257</v>
      </c>
      <c r="L56" s="6" t="s">
        <v>255</v>
      </c>
      <c r="M56" s="6" t="s">
        <v>224</v>
      </c>
      <c r="N56" s="6" t="s">
        <v>209</v>
      </c>
      <c r="O56" s="10" t="s">
        <v>33</v>
      </c>
      <c r="P56" s="6" t="s">
        <v>168</v>
      </c>
      <c r="Q56" s="6" t="s">
        <v>384</v>
      </c>
      <c r="R56" s="6" t="s">
        <v>23</v>
      </c>
      <c r="S56" s="6" t="s">
        <v>385</v>
      </c>
      <c r="T56" s="6" t="s">
        <v>386</v>
      </c>
      <c r="U56" s="6" t="s">
        <v>23</v>
      </c>
      <c r="V56" s="6" t="s">
        <v>38</v>
      </c>
    </row>
    <row r="57" spans="1:22" s="6" customFormat="1" ht="13.2" x14ac:dyDescent="0.25">
      <c r="A57" s="16" t="b">
        <f>FALSE()</f>
        <v>0</v>
      </c>
      <c r="B57" s="7" t="s">
        <v>387</v>
      </c>
      <c r="C57" s="8" t="str">
        <f>IFERROR(VLOOKUP($B57,Pinouts!$A$4:$R$227,9,FALSE()),"")</f>
        <v>G8</v>
      </c>
      <c r="D57" s="8"/>
      <c r="E57" s="14" t="s">
        <v>3</v>
      </c>
      <c r="F57" s="6" t="str">
        <f>IFERROR(VLOOKUP($B57,Pinouts!$A$5:$R$227,3,FALSE()),"")</f>
        <v>-</v>
      </c>
      <c r="G57" s="6" t="s">
        <v>23</v>
      </c>
      <c r="H57" s="6" t="s">
        <v>226</v>
      </c>
      <c r="I57" s="6" t="s">
        <v>262</v>
      </c>
      <c r="J57" s="6" t="s">
        <v>114</v>
      </c>
      <c r="K57" s="6" t="s">
        <v>265</v>
      </c>
      <c r="L57" s="6" t="s">
        <v>263</v>
      </c>
      <c r="M57" s="6" t="s">
        <v>23</v>
      </c>
      <c r="N57" s="6" t="s">
        <v>23</v>
      </c>
      <c r="O57" s="6" t="s">
        <v>23</v>
      </c>
      <c r="P57" s="6" t="s">
        <v>48</v>
      </c>
      <c r="Q57" s="6" t="s">
        <v>388</v>
      </c>
      <c r="R57" s="6" t="s">
        <v>389</v>
      </c>
      <c r="S57" s="6" t="s">
        <v>390</v>
      </c>
      <c r="T57" s="6" t="s">
        <v>391</v>
      </c>
      <c r="U57" s="6" t="s">
        <v>392</v>
      </c>
      <c r="V57" s="6" t="s">
        <v>38</v>
      </c>
    </row>
    <row r="58" spans="1:22" s="6" customFormat="1" ht="13.2" x14ac:dyDescent="0.25">
      <c r="A58" s="16" t="b">
        <f>FALSE()</f>
        <v>0</v>
      </c>
      <c r="B58" s="7" t="s">
        <v>393</v>
      </c>
      <c r="C58" s="8" t="str">
        <f>IFERROR(VLOOKUP($B58,Pinouts!$A$4:$R$227,9,FALSE()),"")</f>
        <v>H12</v>
      </c>
      <c r="D58" s="8"/>
      <c r="E58" s="8" t="s">
        <v>3</v>
      </c>
      <c r="F58" s="6" t="str">
        <f>IFERROR(VLOOKUP($B58,Pinouts!$A$5:$R$227,3,FALSE()),"")</f>
        <v>-</v>
      </c>
      <c r="G58" s="6" t="s">
        <v>23</v>
      </c>
      <c r="H58" s="6" t="s">
        <v>23</v>
      </c>
      <c r="I58" s="10" t="s">
        <v>273</v>
      </c>
      <c r="J58" s="6" t="s">
        <v>23</v>
      </c>
      <c r="K58" s="6" t="s">
        <v>23</v>
      </c>
      <c r="L58" s="6" t="s">
        <v>23</v>
      </c>
      <c r="M58" s="6" t="s">
        <v>23</v>
      </c>
      <c r="N58" s="6" t="s">
        <v>23</v>
      </c>
      <c r="O58" s="6" t="s">
        <v>395</v>
      </c>
      <c r="P58" s="6" t="s">
        <v>23</v>
      </c>
      <c r="Q58" s="6" t="s">
        <v>23</v>
      </c>
      <c r="R58" s="10" t="s">
        <v>396</v>
      </c>
      <c r="S58" s="6" t="s">
        <v>397</v>
      </c>
      <c r="T58" s="6" t="s">
        <v>23</v>
      </c>
      <c r="U58" s="6" t="s">
        <v>23</v>
      </c>
      <c r="V58" s="6" t="s">
        <v>38</v>
      </c>
    </row>
    <row r="59" spans="1:22" s="6" customFormat="1" ht="13.2" x14ac:dyDescent="0.25">
      <c r="A59" s="16" t="b">
        <f>FALSE()</f>
        <v>0</v>
      </c>
      <c r="B59" s="7" t="s">
        <v>398</v>
      </c>
      <c r="C59" s="8" t="str">
        <f>IFERROR(VLOOKUP($B59,Pinouts!$A$4:$R$227,9,FALSE()),"")</f>
        <v>G10</v>
      </c>
      <c r="D59" s="8"/>
      <c r="E59" s="8" t="s">
        <v>3</v>
      </c>
      <c r="F59" s="6" t="str">
        <f>IFERROR(VLOOKUP($B59,Pinouts!$A$5:$R$227,3,FALSE()),"")</f>
        <v>-</v>
      </c>
      <c r="G59" s="6" t="s">
        <v>23</v>
      </c>
      <c r="H59" s="6" t="s">
        <v>23</v>
      </c>
      <c r="I59" s="6" t="s">
        <v>282</v>
      </c>
      <c r="J59" s="6" t="s">
        <v>23</v>
      </c>
      <c r="K59" s="6" t="s">
        <v>23</v>
      </c>
      <c r="L59" s="6" t="s">
        <v>23</v>
      </c>
      <c r="M59" s="6" t="s">
        <v>23</v>
      </c>
      <c r="N59" s="6" t="s">
        <v>23</v>
      </c>
      <c r="O59" s="6" t="s">
        <v>399</v>
      </c>
      <c r="P59" s="6" t="s">
        <v>23</v>
      </c>
      <c r="Q59" s="6" t="s">
        <v>23</v>
      </c>
      <c r="R59" s="6" t="s">
        <v>400</v>
      </c>
      <c r="S59" s="6" t="s">
        <v>401</v>
      </c>
      <c r="T59" s="6" t="s">
        <v>23</v>
      </c>
      <c r="U59" s="6" t="s">
        <v>23</v>
      </c>
      <c r="V59" s="6" t="s">
        <v>38</v>
      </c>
    </row>
    <row r="60" spans="1:22" s="6" customFormat="1" ht="13.2" x14ac:dyDescent="0.25">
      <c r="A60" s="16" t="b">
        <f>TRUE()</f>
        <v>1</v>
      </c>
      <c r="B60" s="7" t="s">
        <v>402</v>
      </c>
      <c r="C60" s="8" t="str">
        <f>IFERROR(VLOOKUP($B60,Pinouts!$A$4:$R$227,9,FALSE()),"")</f>
        <v>E8</v>
      </c>
      <c r="D60" s="8" t="s">
        <v>403</v>
      </c>
      <c r="E60" s="18" t="s">
        <v>3</v>
      </c>
      <c r="F60" s="6" t="str">
        <f>IFERROR(VLOOKUP($B60,Pinouts!$A$5:$R$227,3,FALSE()),"")</f>
        <v>WKUP7</v>
      </c>
      <c r="G60" s="6" t="s">
        <v>404</v>
      </c>
      <c r="H60" s="6" t="s">
        <v>23</v>
      </c>
      <c r="I60" s="6" t="s">
        <v>405</v>
      </c>
      <c r="J60" s="6" t="s">
        <v>23</v>
      </c>
      <c r="K60" s="6" t="s">
        <v>29</v>
      </c>
      <c r="L60" s="6" t="s">
        <v>23</v>
      </c>
      <c r="M60" s="6" t="s">
        <v>23</v>
      </c>
      <c r="N60" s="6" t="s">
        <v>23</v>
      </c>
      <c r="O60" s="6" t="s">
        <v>200</v>
      </c>
      <c r="P60" s="6" t="s">
        <v>23</v>
      </c>
      <c r="Q60" s="6" t="s">
        <v>23</v>
      </c>
      <c r="R60" s="6" t="s">
        <v>23</v>
      </c>
      <c r="S60" s="6" t="s">
        <v>229</v>
      </c>
      <c r="T60" s="6" t="s">
        <v>92</v>
      </c>
      <c r="U60" s="6" t="s">
        <v>406</v>
      </c>
      <c r="V60" s="6" t="s">
        <v>38</v>
      </c>
    </row>
    <row r="61" spans="1:22" s="6" customFormat="1" ht="13.2" x14ac:dyDescent="0.25">
      <c r="A61" s="16" t="b">
        <f>TRUE()</f>
        <v>1</v>
      </c>
      <c r="B61" s="7" t="s">
        <v>407</v>
      </c>
      <c r="C61" s="8" t="str">
        <f>IFERROR(VLOOKUP($B61,Pinouts!$A$4:$R$227,9,FALSE()),"")</f>
        <v>C8</v>
      </c>
      <c r="D61" s="8" t="s">
        <v>408</v>
      </c>
      <c r="E61" s="18" t="s">
        <v>3</v>
      </c>
      <c r="F61" s="6" t="str">
        <f>IFERROR(VLOOKUP($B61,Pinouts!$A$5:$R$227,3,FALSE()),"")</f>
        <v>WKUP8</v>
      </c>
      <c r="G61" s="6" t="s">
        <v>23</v>
      </c>
      <c r="H61" s="6" t="s">
        <v>23</v>
      </c>
      <c r="I61" s="6" t="s">
        <v>23</v>
      </c>
      <c r="J61" s="6" t="s">
        <v>23</v>
      </c>
      <c r="K61" s="6" t="s">
        <v>23</v>
      </c>
      <c r="L61" s="6" t="s">
        <v>71</v>
      </c>
      <c r="M61" s="6" t="s">
        <v>23</v>
      </c>
      <c r="N61" s="6" t="s">
        <v>409</v>
      </c>
      <c r="O61" s="6" t="s">
        <v>23</v>
      </c>
      <c r="P61" s="6" t="s">
        <v>23</v>
      </c>
      <c r="Q61" s="6" t="s">
        <v>23</v>
      </c>
      <c r="R61" s="6" t="s">
        <v>23</v>
      </c>
      <c r="S61" s="6" t="s">
        <v>410</v>
      </c>
      <c r="T61" s="6" t="s">
        <v>259</v>
      </c>
      <c r="U61" s="6" t="s">
        <v>23</v>
      </c>
      <c r="V61" s="6" t="s">
        <v>38</v>
      </c>
    </row>
    <row r="62" spans="1:22" s="6" customFormat="1" ht="13.2" x14ac:dyDescent="0.25">
      <c r="A62" s="16" t="b">
        <f>TRUE()</f>
        <v>1</v>
      </c>
      <c r="B62" s="7" t="s">
        <v>411</v>
      </c>
      <c r="C62" s="8" t="str">
        <f>IFERROR(VLOOKUP($B62,Pinouts!$A$4:$R$227,9,FALSE()),"")</f>
        <v>D8</v>
      </c>
      <c r="D62" s="8" t="s">
        <v>412</v>
      </c>
      <c r="E62" s="18" t="s">
        <v>3</v>
      </c>
      <c r="F62" s="6" t="str">
        <f>IFERROR(VLOOKUP($B62,Pinouts!$A$5:$R$227,3,FALSE()),"")</f>
        <v>-</v>
      </c>
      <c r="G62" s="6" t="s">
        <v>23</v>
      </c>
      <c r="H62" s="6" t="s">
        <v>23</v>
      </c>
      <c r="I62" s="6" t="s">
        <v>23</v>
      </c>
      <c r="J62" s="6" t="s">
        <v>23</v>
      </c>
      <c r="K62" s="6" t="s">
        <v>23</v>
      </c>
      <c r="L62" s="6" t="s">
        <v>23</v>
      </c>
      <c r="M62" s="6" t="s">
        <v>23</v>
      </c>
      <c r="N62" s="6" t="s">
        <v>46</v>
      </c>
      <c r="O62" s="6" t="s">
        <v>23</v>
      </c>
      <c r="P62" s="6" t="s">
        <v>23</v>
      </c>
      <c r="Q62" s="6" t="s">
        <v>297</v>
      </c>
      <c r="R62" s="6" t="s">
        <v>23</v>
      </c>
      <c r="S62" s="6" t="s">
        <v>154</v>
      </c>
      <c r="T62" s="6" t="s">
        <v>23</v>
      </c>
      <c r="U62" s="6" t="s">
        <v>23</v>
      </c>
      <c r="V62" s="6" t="s">
        <v>38</v>
      </c>
    </row>
    <row r="63" spans="1:22" s="6" customFormat="1" ht="13.2" x14ac:dyDescent="0.25">
      <c r="A63" s="16" t="b">
        <f>FALSE()</f>
        <v>0</v>
      </c>
      <c r="B63" s="7" t="s">
        <v>413</v>
      </c>
      <c r="C63" s="8" t="str">
        <f>IFERROR(VLOOKUP($B63,Pinouts!$A$4:$R$227,9,FALSE()),"")</f>
        <v>A7</v>
      </c>
      <c r="D63" s="8"/>
      <c r="E63" s="8" t="s">
        <v>3</v>
      </c>
      <c r="F63" s="6" t="str">
        <f>IFERROR(VLOOKUP($B63,Pinouts!$A$5:$R$227,3,FALSE()),"")</f>
        <v>-</v>
      </c>
      <c r="G63" s="6" t="s">
        <v>23</v>
      </c>
      <c r="H63" s="6" t="s">
        <v>331</v>
      </c>
      <c r="I63" s="6" t="s">
        <v>23</v>
      </c>
      <c r="J63" s="6" t="s">
        <v>23</v>
      </c>
      <c r="K63" s="6" t="s">
        <v>23</v>
      </c>
      <c r="L63" s="6" t="s">
        <v>191</v>
      </c>
      <c r="M63" s="6" t="s">
        <v>23</v>
      </c>
      <c r="N63" s="10" t="s">
        <v>99</v>
      </c>
      <c r="O63" s="6" t="s">
        <v>23</v>
      </c>
      <c r="P63" s="6" t="s">
        <v>74</v>
      </c>
      <c r="Q63" s="6" t="s">
        <v>315</v>
      </c>
      <c r="R63" s="6" t="s">
        <v>23</v>
      </c>
      <c r="S63" s="6" t="s">
        <v>144</v>
      </c>
      <c r="T63" s="6" t="s">
        <v>23</v>
      </c>
      <c r="U63" s="6" t="s">
        <v>23</v>
      </c>
      <c r="V63" s="6" t="s">
        <v>38</v>
      </c>
    </row>
    <row r="64" spans="1:22" s="6" customFormat="1" ht="13.2" x14ac:dyDescent="0.25">
      <c r="A64" s="16" t="b">
        <f>FALSE()</f>
        <v>0</v>
      </c>
      <c r="B64" s="7" t="s">
        <v>414</v>
      </c>
      <c r="C64" s="8" t="str">
        <f>IFERROR(VLOOKUP($B64,Pinouts!$A$4:$R$227,9,FALSE()),"")</f>
        <v>F7</v>
      </c>
      <c r="D64" s="8"/>
      <c r="E64" s="8" t="s">
        <v>3</v>
      </c>
      <c r="F64" s="6" t="str">
        <f>IFERROR(VLOOKUP($B64,Pinouts!$A$5:$R$227,3,FALSE()),"")</f>
        <v>-</v>
      </c>
      <c r="G64" s="6" t="s">
        <v>23</v>
      </c>
      <c r="H64" s="6" t="s">
        <v>23</v>
      </c>
      <c r="I64" s="6" t="s">
        <v>224</v>
      </c>
      <c r="J64" s="6" t="s">
        <v>23</v>
      </c>
      <c r="K64" s="6" t="s">
        <v>23</v>
      </c>
      <c r="L64" s="6" t="s">
        <v>228</v>
      </c>
      <c r="M64" s="6" t="s">
        <v>227</v>
      </c>
      <c r="N64" s="10" t="s">
        <v>109</v>
      </c>
      <c r="O64" s="6" t="s">
        <v>23</v>
      </c>
      <c r="P64" s="6" t="s">
        <v>23</v>
      </c>
      <c r="Q64" s="6" t="s">
        <v>321</v>
      </c>
      <c r="R64" s="6" t="s">
        <v>296</v>
      </c>
      <c r="S64" s="6" t="s">
        <v>342</v>
      </c>
      <c r="T64" s="6" t="s">
        <v>251</v>
      </c>
      <c r="U64" s="6" t="s">
        <v>23</v>
      </c>
      <c r="V64" s="6" t="s">
        <v>38</v>
      </c>
    </row>
    <row r="65" spans="1:22" s="6" customFormat="1" ht="13.2" x14ac:dyDescent="0.25">
      <c r="A65" s="16" t="b">
        <f>FALSE()</f>
        <v>0</v>
      </c>
      <c r="B65" s="7" t="s">
        <v>415</v>
      </c>
      <c r="C65" s="8" t="str">
        <f>IFERROR(VLOOKUP($B65,Pinouts!$A$4:$R$227,9,FALSE()),"")</f>
        <v>B7</v>
      </c>
      <c r="D65" s="8"/>
      <c r="E65" s="8" t="s">
        <v>3</v>
      </c>
      <c r="F65" s="6" t="str">
        <f>IFERROR(VLOOKUP($B65,Pinouts!$A$5:$R$227,3,FALSE()),"")</f>
        <v>-</v>
      </c>
      <c r="G65" s="6" t="s">
        <v>23</v>
      </c>
      <c r="H65" s="6" t="s">
        <v>23</v>
      </c>
      <c r="I65" s="6" t="s">
        <v>23</v>
      </c>
      <c r="J65" s="6" t="s">
        <v>23</v>
      </c>
      <c r="K65" s="6" t="s">
        <v>23</v>
      </c>
      <c r="L65" s="6" t="s">
        <v>137</v>
      </c>
      <c r="M65" s="6" t="s">
        <v>23</v>
      </c>
      <c r="N65" s="6" t="s">
        <v>115</v>
      </c>
      <c r="O65" s="6" t="s">
        <v>23</v>
      </c>
      <c r="P65" s="6" t="s">
        <v>23</v>
      </c>
      <c r="Q65" s="6" t="s">
        <v>290</v>
      </c>
      <c r="R65" s="6" t="s">
        <v>34</v>
      </c>
      <c r="S65" s="6" t="s">
        <v>416</v>
      </c>
      <c r="T65" s="6" t="s">
        <v>23</v>
      </c>
      <c r="U65" s="6" t="s">
        <v>417</v>
      </c>
      <c r="V65" s="6" t="s">
        <v>38</v>
      </c>
    </row>
    <row r="66" spans="1:22" s="6" customFormat="1" ht="13.2" x14ac:dyDescent="0.25">
      <c r="A66" s="16" t="b">
        <f>FALSE()</f>
        <v>0</v>
      </c>
      <c r="B66" s="7" t="s">
        <v>418</v>
      </c>
      <c r="C66" s="8" t="str">
        <f>IFERROR(VLOOKUP($B66,Pinouts!$A$4:$R$227,9,FALSE()),"")</f>
        <v>J11</v>
      </c>
      <c r="D66" s="8"/>
      <c r="E66" s="8" t="s">
        <v>3</v>
      </c>
      <c r="F66" s="6" t="str">
        <f>IFERROR(VLOOKUP($B66,Pinouts!$A$5:$R$227,3,FALSE()),"")</f>
        <v>-</v>
      </c>
      <c r="G66" s="6" t="s">
        <v>23</v>
      </c>
      <c r="H66" s="6" t="s">
        <v>23</v>
      </c>
      <c r="I66" s="6" t="s">
        <v>23</v>
      </c>
      <c r="J66" s="6" t="s">
        <v>23</v>
      </c>
      <c r="K66" s="6" t="s">
        <v>23</v>
      </c>
      <c r="L66" s="6" t="s">
        <v>23</v>
      </c>
      <c r="M66" s="6" t="s">
        <v>23</v>
      </c>
      <c r="N66" s="10" t="s">
        <v>184</v>
      </c>
      <c r="O66" s="6" t="s">
        <v>23</v>
      </c>
      <c r="P66" s="6" t="s">
        <v>23</v>
      </c>
      <c r="Q66" s="6" t="s">
        <v>23</v>
      </c>
      <c r="R66" s="6" t="s">
        <v>23</v>
      </c>
      <c r="S66" s="6" t="s">
        <v>419</v>
      </c>
      <c r="T66" s="6" t="s">
        <v>23</v>
      </c>
      <c r="U66" s="6" t="s">
        <v>23</v>
      </c>
      <c r="V66" s="6" t="s">
        <v>38</v>
      </c>
    </row>
    <row r="67" spans="1:22" s="6" customFormat="1" ht="13.2" x14ac:dyDescent="0.25">
      <c r="A67" s="16" t="b">
        <f>FALSE()</f>
        <v>0</v>
      </c>
      <c r="B67" s="7" t="s">
        <v>420</v>
      </c>
      <c r="C67" s="8" t="str">
        <f>IFERROR(VLOOKUP($B67,Pinouts!$A$4:$R$227,9,FALSE()),"")</f>
        <v>H9</v>
      </c>
      <c r="D67" s="8"/>
      <c r="E67" s="8" t="s">
        <v>3</v>
      </c>
      <c r="F67" s="6" t="str">
        <f>IFERROR(VLOOKUP($B67,Pinouts!$A$5:$R$227,3,FALSE()),"")</f>
        <v>-</v>
      </c>
      <c r="G67" s="6" t="s">
        <v>23</v>
      </c>
      <c r="H67" s="6" t="s">
        <v>23</v>
      </c>
      <c r="I67" s="6" t="s">
        <v>23</v>
      </c>
      <c r="J67" s="6" t="s">
        <v>23</v>
      </c>
      <c r="K67" s="6" t="s">
        <v>23</v>
      </c>
      <c r="L67" s="6" t="s">
        <v>23</v>
      </c>
      <c r="M67" s="6" t="s">
        <v>23</v>
      </c>
      <c r="N67" s="10" t="s">
        <v>193</v>
      </c>
      <c r="O67" s="6" t="s">
        <v>23</v>
      </c>
      <c r="P67" s="6" t="s">
        <v>198</v>
      </c>
      <c r="Q67" s="6" t="s">
        <v>23</v>
      </c>
      <c r="R67" s="6" t="s">
        <v>23</v>
      </c>
      <c r="S67" s="6" t="s">
        <v>421</v>
      </c>
      <c r="T67" s="6" t="s">
        <v>23</v>
      </c>
      <c r="U67" s="6" t="s">
        <v>23</v>
      </c>
      <c r="V67" s="6" t="s">
        <v>38</v>
      </c>
    </row>
    <row r="68" spans="1:22" s="6" customFormat="1" ht="13.2" x14ac:dyDescent="0.25">
      <c r="A68" s="16" t="b">
        <f>FALSE()</f>
        <v>0</v>
      </c>
      <c r="B68" s="7" t="s">
        <v>422</v>
      </c>
      <c r="C68" s="8" t="str">
        <f>IFERROR(VLOOKUP($B68,Pinouts!$A$4:$R$227,9,FALSE()),"")</f>
        <v>D5</v>
      </c>
      <c r="D68" s="8"/>
      <c r="E68" s="8" t="s">
        <v>3</v>
      </c>
      <c r="F68" s="6" t="str">
        <f>IFERROR(VLOOKUP($B68,Pinouts!$A$5:$R$227,3,FALSE()),"")</f>
        <v>-</v>
      </c>
      <c r="G68" s="6" t="s">
        <v>23</v>
      </c>
      <c r="H68" s="6" t="s">
        <v>423</v>
      </c>
      <c r="I68" s="10" t="s">
        <v>424</v>
      </c>
      <c r="J68" s="6" t="s">
        <v>378</v>
      </c>
      <c r="K68" s="6" t="s">
        <v>189</v>
      </c>
      <c r="L68" s="6" t="s">
        <v>23</v>
      </c>
      <c r="M68" s="6" t="s">
        <v>31</v>
      </c>
      <c r="N68" s="6" t="s">
        <v>23</v>
      </c>
      <c r="O68" s="6" t="s">
        <v>425</v>
      </c>
      <c r="P68" s="6" t="s">
        <v>66</v>
      </c>
      <c r="Q68" s="6" t="s">
        <v>426</v>
      </c>
      <c r="R68" s="6" t="s">
        <v>23</v>
      </c>
      <c r="S68" s="6" t="s">
        <v>427</v>
      </c>
      <c r="T68" s="6" t="s">
        <v>220</v>
      </c>
      <c r="U68" s="6" t="s">
        <v>23</v>
      </c>
      <c r="V68" s="6" t="s">
        <v>38</v>
      </c>
    </row>
    <row r="69" spans="1:22" s="6" customFormat="1" ht="13.2" x14ac:dyDescent="0.25">
      <c r="A69" s="16" t="b">
        <f>FALSE()</f>
        <v>0</v>
      </c>
      <c r="B69" s="7" t="s">
        <v>428</v>
      </c>
      <c r="C69" s="8" t="str">
        <f>IFERROR(VLOOKUP($B69,Pinouts!$A$4:$R$227,9,FALSE()),"")</f>
        <v>C5</v>
      </c>
      <c r="D69" s="8"/>
      <c r="E69" s="8" t="s">
        <v>3</v>
      </c>
      <c r="F69" s="6" t="str">
        <f>IFERROR(VLOOKUP($B69,Pinouts!$A$5:$R$227,3,FALSE()),"")</f>
        <v>-</v>
      </c>
      <c r="G69" s="6" t="s">
        <v>23</v>
      </c>
      <c r="H69" s="6" t="s">
        <v>98</v>
      </c>
      <c r="I69" s="6" t="s">
        <v>23</v>
      </c>
      <c r="J69" s="6" t="s">
        <v>23</v>
      </c>
      <c r="K69" s="6" t="s">
        <v>23</v>
      </c>
      <c r="L69" s="6" t="s">
        <v>23</v>
      </c>
      <c r="M69" s="6" t="s">
        <v>23</v>
      </c>
      <c r="N69" s="6" t="s">
        <v>23</v>
      </c>
      <c r="O69" s="6" t="s">
        <v>429</v>
      </c>
      <c r="P69" s="6" t="s">
        <v>74</v>
      </c>
      <c r="Q69" s="6" t="s">
        <v>23</v>
      </c>
      <c r="R69" s="6" t="s">
        <v>23</v>
      </c>
      <c r="S69" s="6" t="s">
        <v>91</v>
      </c>
      <c r="T69" s="6" t="s">
        <v>155</v>
      </c>
      <c r="U69" s="6" t="s">
        <v>23</v>
      </c>
      <c r="V69" s="6" t="s">
        <v>38</v>
      </c>
    </row>
    <row r="70" spans="1:22" s="6" customFormat="1" ht="13.2" x14ac:dyDescent="0.25">
      <c r="A70" s="16" t="b">
        <f>TRUE()</f>
        <v>1</v>
      </c>
      <c r="B70" s="7" t="s">
        <v>430</v>
      </c>
      <c r="C70" s="8" t="str">
        <f>IFERROR(VLOOKUP($B70,Pinouts!$A$4:$R$227,9,FALSE()),"")</f>
        <v>L8</v>
      </c>
      <c r="D70" s="8" t="s">
        <v>431</v>
      </c>
      <c r="E70" s="8" t="s">
        <v>3</v>
      </c>
      <c r="F70" s="6" t="str">
        <f>IFERROR(VLOOKUP($B70,Pinouts!$A$5:$R$227,3,FALSE()),"")</f>
        <v>-</v>
      </c>
      <c r="G70" s="6" t="s">
        <v>23</v>
      </c>
      <c r="H70" s="6" t="s">
        <v>165</v>
      </c>
      <c r="I70" s="6" t="s">
        <v>23</v>
      </c>
      <c r="J70" s="6" t="s">
        <v>23</v>
      </c>
      <c r="K70" s="6" t="s">
        <v>23</v>
      </c>
      <c r="L70" s="6" t="s">
        <v>23</v>
      </c>
      <c r="M70" s="6" t="s">
        <v>432</v>
      </c>
      <c r="N70" s="6" t="s">
        <v>433</v>
      </c>
      <c r="O70" s="6" t="s">
        <v>23</v>
      </c>
      <c r="P70" s="6" t="s">
        <v>23</v>
      </c>
      <c r="Q70" s="12" t="s">
        <v>290</v>
      </c>
      <c r="R70" s="6" t="s">
        <v>23</v>
      </c>
      <c r="S70" s="6" t="s">
        <v>434</v>
      </c>
      <c r="T70" s="6" t="s">
        <v>23</v>
      </c>
      <c r="U70" s="6" t="s">
        <v>23</v>
      </c>
      <c r="V70" s="6" t="s">
        <v>38</v>
      </c>
    </row>
    <row r="71" spans="1:22" s="6" customFormat="1" ht="13.2" x14ac:dyDescent="0.25">
      <c r="A71" s="16" t="b">
        <f>TRUE()</f>
        <v>1</v>
      </c>
      <c r="B71" s="7" t="s">
        <v>435</v>
      </c>
      <c r="C71" s="8" t="str">
        <f>IFERROR(VLOOKUP($B71,Pinouts!$A$4:$R$227,9,FALSE()),"")</f>
        <v>M8</v>
      </c>
      <c r="D71" s="8" t="s">
        <v>436</v>
      </c>
      <c r="E71" s="8" t="s">
        <v>3</v>
      </c>
      <c r="F71" s="6" t="str">
        <f>IFERROR(VLOOKUP($B71,Pinouts!$A$5:$R$227,3,FALSE()),"")</f>
        <v>-</v>
      </c>
      <c r="G71" s="6" t="s">
        <v>23</v>
      </c>
      <c r="H71" s="6" t="s">
        <v>158</v>
      </c>
      <c r="I71" s="6" t="s">
        <v>23</v>
      </c>
      <c r="J71" s="6" t="s">
        <v>23</v>
      </c>
      <c r="K71" s="6" t="s">
        <v>150</v>
      </c>
      <c r="L71" s="6" t="s">
        <v>437</v>
      </c>
      <c r="M71" s="12" t="s">
        <v>185</v>
      </c>
      <c r="N71" s="6" t="s">
        <v>23</v>
      </c>
      <c r="O71" s="6" t="s">
        <v>23</v>
      </c>
      <c r="P71" s="6" t="s">
        <v>23</v>
      </c>
      <c r="Q71" s="6" t="s">
        <v>35</v>
      </c>
      <c r="R71" s="6" t="s">
        <v>23</v>
      </c>
      <c r="S71" s="6" t="s">
        <v>438</v>
      </c>
      <c r="T71" s="6" t="s">
        <v>23</v>
      </c>
      <c r="U71" s="6" t="s">
        <v>23</v>
      </c>
      <c r="V71" s="6" t="s">
        <v>38</v>
      </c>
    </row>
    <row r="72" spans="1:22" s="6" customFormat="1" ht="13.2" x14ac:dyDescent="0.25">
      <c r="A72" s="16" t="b">
        <f>TRUE()</f>
        <v>1</v>
      </c>
      <c r="B72" s="7" t="s">
        <v>439</v>
      </c>
      <c r="C72" s="8" t="str">
        <f>IFERROR(VLOOKUP($B72,Pinouts!$A$4:$R$227,9,FALSE()),"")</f>
        <v>M9</v>
      </c>
      <c r="D72" s="8" t="s">
        <v>1030</v>
      </c>
      <c r="E72" s="18" t="s">
        <v>3</v>
      </c>
      <c r="F72" s="6" t="str">
        <f>IFERROR(VLOOKUP($B72,Pinouts!$A$5:$R$227,3,FALSE()),"")</f>
        <v>-</v>
      </c>
      <c r="G72" s="6" t="s">
        <v>23</v>
      </c>
      <c r="H72" s="6" t="s">
        <v>174</v>
      </c>
      <c r="I72" s="6" t="s">
        <v>23</v>
      </c>
      <c r="J72" s="6" t="s">
        <v>23</v>
      </c>
      <c r="K72" s="6" t="s">
        <v>23</v>
      </c>
      <c r="L72" s="6" t="s">
        <v>440</v>
      </c>
      <c r="M72" s="6" t="s">
        <v>23</v>
      </c>
      <c r="N72" s="6" t="s">
        <v>23</v>
      </c>
      <c r="O72" s="6" t="s">
        <v>23</v>
      </c>
      <c r="P72" s="6" t="s">
        <v>23</v>
      </c>
      <c r="Q72" s="6" t="s">
        <v>100</v>
      </c>
      <c r="R72" s="6" t="s">
        <v>23</v>
      </c>
      <c r="S72" s="6" t="s">
        <v>441</v>
      </c>
      <c r="T72" s="6" t="s">
        <v>23</v>
      </c>
      <c r="U72" s="6" t="s">
        <v>23</v>
      </c>
      <c r="V72" s="6" t="s">
        <v>38</v>
      </c>
    </row>
    <row r="73" spans="1:22" s="6" customFormat="1" ht="13.2" x14ac:dyDescent="0.25">
      <c r="A73" s="16" t="b">
        <f>FALSE()</f>
        <v>0</v>
      </c>
      <c r="B73" s="7" t="s">
        <v>442</v>
      </c>
      <c r="C73" s="8" t="str">
        <f>IFERROR(VLOOKUP($B73,Pinouts!$A$4:$R$227,9,FALSE()),"")</f>
        <v>K8</v>
      </c>
      <c r="D73" s="8"/>
      <c r="E73" s="8" t="s">
        <v>3</v>
      </c>
      <c r="F73" s="6" t="str">
        <f>IFERROR(VLOOKUP($B73,Pinouts!$A$5:$R$227,3,FALSE()),"")</f>
        <v>-</v>
      </c>
      <c r="G73" s="6" t="s">
        <v>23</v>
      </c>
      <c r="H73" s="6" t="s">
        <v>53</v>
      </c>
      <c r="I73" s="6" t="s">
        <v>23</v>
      </c>
      <c r="J73" s="6" t="s">
        <v>23</v>
      </c>
      <c r="K73" s="6" t="s">
        <v>23</v>
      </c>
      <c r="L73" s="6" t="s">
        <v>443</v>
      </c>
      <c r="M73" s="6" t="s">
        <v>23</v>
      </c>
      <c r="N73" s="6" t="s">
        <v>23</v>
      </c>
      <c r="O73" s="6" t="s">
        <v>23</v>
      </c>
      <c r="P73" s="6" t="s">
        <v>23</v>
      </c>
      <c r="Q73" s="6" t="s">
        <v>444</v>
      </c>
      <c r="R73" s="6" t="s">
        <v>23</v>
      </c>
      <c r="S73" s="6" t="s">
        <v>445</v>
      </c>
      <c r="T73" s="6" t="s">
        <v>23</v>
      </c>
      <c r="U73" s="6" t="s">
        <v>23</v>
      </c>
      <c r="V73" s="6" t="s">
        <v>38</v>
      </c>
    </row>
    <row r="74" spans="1:22" s="6" customFormat="1" ht="13.2" x14ac:dyDescent="0.25">
      <c r="A74" s="16" t="b">
        <f>FALSE()</f>
        <v>0</v>
      </c>
      <c r="B74" s="7" t="s">
        <v>446</v>
      </c>
      <c r="C74" s="8" t="str">
        <f>IFERROR(VLOOKUP($B74,Pinouts!$A$4:$R$227,9,FALSE()),"")</f>
        <v>J9</v>
      </c>
      <c r="D74" s="8"/>
      <c r="E74" s="8" t="s">
        <v>3</v>
      </c>
      <c r="F74" s="6" t="str">
        <f>IFERROR(VLOOKUP($B74,Pinouts!$A$5:$R$227,3,FALSE()),"")</f>
        <v>-</v>
      </c>
      <c r="G74" s="6" t="s">
        <v>23</v>
      </c>
      <c r="H74" s="10" t="s">
        <v>62</v>
      </c>
      <c r="I74" s="6" t="s">
        <v>23</v>
      </c>
      <c r="J74" s="6" t="s">
        <v>23</v>
      </c>
      <c r="K74" s="6" t="s">
        <v>23</v>
      </c>
      <c r="L74" s="6" t="s">
        <v>447</v>
      </c>
      <c r="M74" s="6" t="s">
        <v>23</v>
      </c>
      <c r="N74" s="6" t="s">
        <v>23</v>
      </c>
      <c r="O74" s="6" t="s">
        <v>23</v>
      </c>
      <c r="P74" s="6" t="s">
        <v>23</v>
      </c>
      <c r="Q74" s="6" t="s">
        <v>448</v>
      </c>
      <c r="R74" s="6" t="s">
        <v>23</v>
      </c>
      <c r="S74" s="6" t="s">
        <v>449</v>
      </c>
      <c r="T74" s="6" t="s">
        <v>23</v>
      </c>
      <c r="U74" s="6" t="s">
        <v>23</v>
      </c>
      <c r="V74" s="6" t="s">
        <v>38</v>
      </c>
    </row>
    <row r="75" spans="1:22" s="6" customFormat="1" ht="13.2" x14ac:dyDescent="0.25">
      <c r="A75" s="16" t="b">
        <f>FALSE()</f>
        <v>0</v>
      </c>
      <c r="B75" s="7" t="s">
        <v>450</v>
      </c>
      <c r="C75" s="8" t="str">
        <f>IFERROR(VLOOKUP($B75,Pinouts!$A$4:$R$227,9,FALSE()),"")</f>
        <v>L9</v>
      </c>
      <c r="D75" s="8"/>
      <c r="E75" s="14" t="s">
        <v>3</v>
      </c>
      <c r="F75" s="6" t="str">
        <f>IFERROR(VLOOKUP($B75,Pinouts!$A$5:$R$227,3,FALSE()),"")</f>
        <v>-</v>
      </c>
      <c r="G75" s="6" t="s">
        <v>23</v>
      </c>
      <c r="H75" s="6" t="s">
        <v>125</v>
      </c>
      <c r="I75" s="6" t="s">
        <v>23</v>
      </c>
      <c r="J75" s="6" t="s">
        <v>331</v>
      </c>
      <c r="K75" s="6" t="s">
        <v>23</v>
      </c>
      <c r="L75" s="6" t="s">
        <v>23</v>
      </c>
      <c r="M75" s="6" t="s">
        <v>23</v>
      </c>
      <c r="N75" s="6" t="s">
        <v>451</v>
      </c>
      <c r="O75" s="6" t="s">
        <v>23</v>
      </c>
      <c r="P75" s="6" t="s">
        <v>23</v>
      </c>
      <c r="Q75" s="6" t="s">
        <v>23</v>
      </c>
      <c r="R75" s="6" t="s">
        <v>23</v>
      </c>
      <c r="S75" s="6" t="s">
        <v>452</v>
      </c>
      <c r="T75" s="6" t="s">
        <v>23</v>
      </c>
      <c r="U75" s="6" t="s">
        <v>23</v>
      </c>
      <c r="V75" s="6" t="s">
        <v>38</v>
      </c>
    </row>
    <row r="76" spans="1:22" s="6" customFormat="1" ht="13.2" x14ac:dyDescent="0.25">
      <c r="A76" s="16" t="b">
        <f>TRUE()</f>
        <v>1</v>
      </c>
      <c r="B76" s="7" t="s">
        <v>453</v>
      </c>
      <c r="C76" s="8" t="str">
        <f>IFERROR(VLOOKUP($B76,Pinouts!$A$4:$R$227,9,FALSE()),"")</f>
        <v>C3</v>
      </c>
      <c r="D76" s="8" t="s">
        <v>454</v>
      </c>
      <c r="E76" s="8" t="s">
        <v>3</v>
      </c>
      <c r="F76" s="6" t="str">
        <f>IFERROR(VLOOKUP($B76,Pinouts!$A$5:$R$227,3,FALSE()),"")</f>
        <v>-</v>
      </c>
      <c r="G76" s="6" t="s">
        <v>455</v>
      </c>
      <c r="H76" s="6" t="s">
        <v>98</v>
      </c>
      <c r="I76" s="6" t="s">
        <v>326</v>
      </c>
      <c r="J76" s="6" t="s">
        <v>23</v>
      </c>
      <c r="K76" s="6" t="s">
        <v>23</v>
      </c>
      <c r="L76" s="6" t="s">
        <v>440</v>
      </c>
      <c r="M76" s="6" t="s">
        <v>288</v>
      </c>
      <c r="N76" s="6" t="s">
        <v>456</v>
      </c>
      <c r="O76" s="6" t="s">
        <v>429</v>
      </c>
      <c r="P76" s="12" t="s">
        <v>141</v>
      </c>
      <c r="Q76" s="6" t="s">
        <v>23</v>
      </c>
      <c r="R76" s="6" t="s">
        <v>276</v>
      </c>
      <c r="S76" s="6" t="s">
        <v>457</v>
      </c>
      <c r="T76" s="6" t="s">
        <v>155</v>
      </c>
      <c r="U76" s="6" t="s">
        <v>23</v>
      </c>
      <c r="V76" s="6" t="s">
        <v>38</v>
      </c>
    </row>
    <row r="77" spans="1:22" s="6" customFormat="1" ht="13.2" x14ac:dyDescent="0.25">
      <c r="A77" s="16" t="b">
        <f>TRUE()</f>
        <v>1</v>
      </c>
      <c r="B77" s="7" t="s">
        <v>458</v>
      </c>
      <c r="C77" s="8" t="str">
        <f>IFERROR(VLOOKUP($B77,Pinouts!$A$4:$R$227,9,FALSE()),"")</f>
        <v>D4</v>
      </c>
      <c r="D77" s="8" t="s">
        <v>597</v>
      </c>
      <c r="E77" s="18" t="s">
        <v>3</v>
      </c>
      <c r="F77" s="6" t="str">
        <f>IFERROR(VLOOKUP($B77,Pinouts!$A$5:$R$227,3,FALSE()),"")</f>
        <v>TAMP_IN6,TAMP_OUT3</v>
      </c>
      <c r="G77" s="6" t="s">
        <v>293</v>
      </c>
      <c r="H77" s="6" t="s">
        <v>23</v>
      </c>
      <c r="I77" s="6" t="s">
        <v>23</v>
      </c>
      <c r="J77" s="6" t="s">
        <v>23</v>
      </c>
      <c r="K77" s="6" t="s">
        <v>29</v>
      </c>
      <c r="L77" s="6" t="s">
        <v>23</v>
      </c>
      <c r="M77" s="6" t="s">
        <v>108</v>
      </c>
      <c r="N77" s="6" t="s">
        <v>459</v>
      </c>
      <c r="O77" s="6" t="s">
        <v>23</v>
      </c>
      <c r="P77" s="6" t="s">
        <v>23</v>
      </c>
      <c r="Q77" s="6" t="s">
        <v>23</v>
      </c>
      <c r="R77" s="6" t="s">
        <v>23</v>
      </c>
      <c r="S77" s="6" t="s">
        <v>460</v>
      </c>
      <c r="T77" s="6" t="s">
        <v>23</v>
      </c>
      <c r="U77" s="6" t="s">
        <v>23</v>
      </c>
      <c r="V77" s="6" t="s">
        <v>38</v>
      </c>
    </row>
    <row r="78" spans="1:22" s="6" customFormat="1" ht="13.2" x14ac:dyDescent="0.25">
      <c r="A78" s="16" t="b">
        <f>FALSE()</f>
        <v>0</v>
      </c>
      <c r="B78" s="7" t="s">
        <v>461</v>
      </c>
      <c r="C78" s="8" t="str">
        <f>IFERROR(VLOOKUP($B78,Pinouts!$A$4:$R$227,9,FALSE()),"")</f>
        <v>D3</v>
      </c>
      <c r="D78" s="8"/>
      <c r="E78" s="8" t="s">
        <v>3</v>
      </c>
      <c r="F78" s="6" t="str">
        <f>IFERROR(VLOOKUP($B78,Pinouts!$A$5:$R$227,3,FALSE()),"")</f>
        <v>TAMP_IN7,TAMP_OUT8</v>
      </c>
      <c r="G78" s="6" t="s">
        <v>355</v>
      </c>
      <c r="H78" s="6" t="s">
        <v>23</v>
      </c>
      <c r="I78" s="6" t="s">
        <v>462</v>
      </c>
      <c r="J78" s="6" t="s">
        <v>23</v>
      </c>
      <c r="K78" s="6" t="s">
        <v>43</v>
      </c>
      <c r="L78" s="10" t="s">
        <v>437</v>
      </c>
      <c r="M78" s="6" t="s">
        <v>333</v>
      </c>
      <c r="N78" s="6" t="s">
        <v>23</v>
      </c>
      <c r="O78" s="6" t="s">
        <v>23</v>
      </c>
      <c r="P78" s="6" t="s">
        <v>23</v>
      </c>
      <c r="Q78" s="6" t="s">
        <v>23</v>
      </c>
      <c r="R78" s="6" t="s">
        <v>23</v>
      </c>
      <c r="S78" s="6" t="s">
        <v>463</v>
      </c>
      <c r="T78" s="6" t="s">
        <v>305</v>
      </c>
      <c r="U78" s="6" t="s">
        <v>23</v>
      </c>
      <c r="V78" s="6" t="s">
        <v>38</v>
      </c>
    </row>
    <row r="79" spans="1:22" s="6" customFormat="1" ht="13.2" x14ac:dyDescent="0.25">
      <c r="A79" s="16" t="b">
        <f>FALSE()</f>
        <v>0</v>
      </c>
      <c r="B79" s="7" t="s">
        <v>464</v>
      </c>
      <c r="C79" s="8" t="str">
        <f>IFERROR(VLOOKUP($B79,Pinouts!$A$4:$R$227,9,FALSE()),"")</f>
        <v>C2</v>
      </c>
      <c r="D79" s="8"/>
      <c r="E79" s="8" t="s">
        <v>3</v>
      </c>
      <c r="F79" s="6" t="str">
        <f>IFERROR(VLOOKUP($B79,Pinouts!$A$5:$R$227,3,FALSE()),"")</f>
        <v>TAMP_IN8,TAMP_OUT7</v>
      </c>
      <c r="G79" s="6" t="s">
        <v>404</v>
      </c>
      <c r="H79" s="6" t="s">
        <v>23</v>
      </c>
      <c r="I79" s="6" t="s">
        <v>465</v>
      </c>
      <c r="J79" s="6" t="s">
        <v>23</v>
      </c>
      <c r="K79" s="6" t="s">
        <v>97</v>
      </c>
      <c r="L79" s="10" t="s">
        <v>443</v>
      </c>
      <c r="M79" s="6" t="s">
        <v>339</v>
      </c>
      <c r="N79" s="6" t="s">
        <v>23</v>
      </c>
      <c r="O79" s="6" t="s">
        <v>23</v>
      </c>
      <c r="P79" s="6" t="s">
        <v>23</v>
      </c>
      <c r="Q79" s="6" t="s">
        <v>23</v>
      </c>
      <c r="R79" s="6" t="s">
        <v>23</v>
      </c>
      <c r="S79" s="6" t="s">
        <v>466</v>
      </c>
      <c r="T79" s="6" t="s">
        <v>278</v>
      </c>
      <c r="U79" s="6" t="s">
        <v>23</v>
      </c>
      <c r="V79" s="6" t="s">
        <v>38</v>
      </c>
    </row>
    <row r="80" spans="1:22" s="6" customFormat="1" ht="13.2" x14ac:dyDescent="0.25">
      <c r="A80" s="16" t="b">
        <f>FALSE()</f>
        <v>0</v>
      </c>
      <c r="B80" s="7" t="s">
        <v>467</v>
      </c>
      <c r="C80" s="8" t="str">
        <f>IFERROR(VLOOKUP($B80,Pinouts!$A$4:$R$227,9,FALSE()),"")</f>
        <v>D2</v>
      </c>
      <c r="D80" s="8"/>
      <c r="E80" s="8" t="s">
        <v>3</v>
      </c>
      <c r="F80" s="6" t="str">
        <f>IFERROR(VLOOKUP($B80,Pinouts!$A$5:$R$227,3,FALSE()),"")</f>
        <v>TAMP_IN3,TAMP_OUT6</v>
      </c>
      <c r="G80" s="6" t="s">
        <v>307</v>
      </c>
      <c r="H80" s="6" t="s">
        <v>468</v>
      </c>
      <c r="I80" s="6" t="s">
        <v>224</v>
      </c>
      <c r="J80" s="6" t="s">
        <v>23</v>
      </c>
      <c r="K80" s="6" t="s">
        <v>107</v>
      </c>
      <c r="L80" s="10" t="s">
        <v>447</v>
      </c>
      <c r="M80" s="6" t="s">
        <v>227</v>
      </c>
      <c r="N80" s="6" t="s">
        <v>23</v>
      </c>
      <c r="O80" s="6" t="s">
        <v>23</v>
      </c>
      <c r="P80" s="6" t="s">
        <v>23</v>
      </c>
      <c r="Q80" s="6" t="s">
        <v>49</v>
      </c>
      <c r="R80" s="6" t="s">
        <v>23</v>
      </c>
      <c r="S80" s="6" t="s">
        <v>469</v>
      </c>
      <c r="T80" s="6" t="s">
        <v>244</v>
      </c>
      <c r="U80" s="6" t="s">
        <v>23</v>
      </c>
      <c r="V80" s="6" t="s">
        <v>38</v>
      </c>
    </row>
    <row r="81" spans="1:22" s="6" customFormat="1" ht="13.2" x14ac:dyDescent="0.25">
      <c r="A81" s="16" t="b">
        <f>FALSE()</f>
        <v>0</v>
      </c>
      <c r="B81" s="7" t="s">
        <v>470</v>
      </c>
      <c r="C81" s="8" t="str">
        <f>IFERROR(VLOOKUP($B81,Pinouts!$A$4:$R$227,9,FALSE()),"")</f>
        <v>L7</v>
      </c>
      <c r="D81" s="8"/>
      <c r="E81" s="14" t="s">
        <v>3</v>
      </c>
      <c r="F81" s="6" t="str">
        <f>IFERROR(VLOOKUP($B81,Pinouts!$A$5:$R$227,3,FALSE()),"")</f>
        <v>-</v>
      </c>
      <c r="G81" s="6" t="s">
        <v>23</v>
      </c>
      <c r="H81" s="6" t="s">
        <v>69</v>
      </c>
      <c r="I81" s="6" t="s">
        <v>23</v>
      </c>
      <c r="J81" s="6" t="s">
        <v>23</v>
      </c>
      <c r="K81" s="6" t="s">
        <v>23</v>
      </c>
      <c r="L81" s="6" t="s">
        <v>23</v>
      </c>
      <c r="M81" s="6" t="s">
        <v>334</v>
      </c>
      <c r="N81" s="6" t="s">
        <v>153</v>
      </c>
      <c r="O81" s="6" t="s">
        <v>23</v>
      </c>
      <c r="P81" s="6" t="s">
        <v>23</v>
      </c>
      <c r="Q81" s="6" t="s">
        <v>297</v>
      </c>
      <c r="R81" s="6" t="s">
        <v>23</v>
      </c>
      <c r="S81" s="6" t="s">
        <v>471</v>
      </c>
      <c r="T81" s="6" t="s">
        <v>23</v>
      </c>
      <c r="U81" s="6" t="s">
        <v>23</v>
      </c>
      <c r="V81" s="6" t="s">
        <v>38</v>
      </c>
    </row>
    <row r="82" spans="1:22" s="6" customFormat="1" ht="13.2" x14ac:dyDescent="0.25">
      <c r="A82" s="16" t="b">
        <f>TRUE()</f>
        <v>1</v>
      </c>
      <c r="B82" s="7" t="s">
        <v>472</v>
      </c>
      <c r="C82" s="8" t="str">
        <f>IFERROR(VLOOKUP($B82,Pinouts!$A$4:$R$227,9,FALSE()),"")</f>
        <v>J8</v>
      </c>
      <c r="D82" s="8" t="s">
        <v>473</v>
      </c>
      <c r="E82" s="8" t="s">
        <v>3</v>
      </c>
      <c r="F82" s="6" t="str">
        <f>IFERROR(VLOOKUP($B82,Pinouts!$A$5:$R$227,3,FALSE()),"")</f>
        <v>-</v>
      </c>
      <c r="G82" s="6" t="s">
        <v>23</v>
      </c>
      <c r="H82" s="6" t="s">
        <v>135</v>
      </c>
      <c r="I82" s="6" t="s">
        <v>23</v>
      </c>
      <c r="J82" s="6" t="s">
        <v>23</v>
      </c>
      <c r="K82" s="6" t="s">
        <v>23</v>
      </c>
      <c r="L82" s="6" t="s">
        <v>23</v>
      </c>
      <c r="M82" s="6" t="s">
        <v>234</v>
      </c>
      <c r="N82" s="6" t="s">
        <v>90</v>
      </c>
      <c r="O82" s="6" t="s">
        <v>23</v>
      </c>
      <c r="P82" s="6" t="s">
        <v>23</v>
      </c>
      <c r="Q82" s="12" t="s">
        <v>315</v>
      </c>
      <c r="R82" s="6" t="s">
        <v>23</v>
      </c>
      <c r="S82" s="6" t="s">
        <v>474</v>
      </c>
      <c r="T82" s="6" t="s">
        <v>23</v>
      </c>
      <c r="U82" s="6" t="s">
        <v>23</v>
      </c>
      <c r="V82" s="6" t="s">
        <v>38</v>
      </c>
    </row>
    <row r="83" spans="1:22" s="6" customFormat="1" ht="13.2" x14ac:dyDescent="0.25">
      <c r="A83" s="16" t="b">
        <f>TRUE()</f>
        <v>1</v>
      </c>
      <c r="B83" s="7" t="s">
        <v>475</v>
      </c>
      <c r="C83" s="8" t="str">
        <f>IFERROR(VLOOKUP($B83,Pinouts!$A$4:$R$227,9,FALSE()),"")</f>
        <v>N8</v>
      </c>
      <c r="D83" s="8" t="s">
        <v>476</v>
      </c>
      <c r="E83" s="8" t="s">
        <v>3</v>
      </c>
      <c r="F83" s="6" t="str">
        <f>IFERROR(VLOOKUP($B83,Pinouts!$A$5:$R$227,3,FALSE()),"")</f>
        <v>-</v>
      </c>
      <c r="G83" s="6" t="s">
        <v>23</v>
      </c>
      <c r="H83" s="6" t="s">
        <v>147</v>
      </c>
      <c r="I83" s="6" t="s">
        <v>23</v>
      </c>
      <c r="J83" s="6" t="s">
        <v>23</v>
      </c>
      <c r="K83" s="6" t="s">
        <v>23</v>
      </c>
      <c r="L83" s="6" t="s">
        <v>23</v>
      </c>
      <c r="M83" s="6" t="s">
        <v>477</v>
      </c>
      <c r="N83" s="6" t="s">
        <v>478</v>
      </c>
      <c r="O83" s="6" t="s">
        <v>23</v>
      </c>
      <c r="P83" s="6" t="s">
        <v>23</v>
      </c>
      <c r="Q83" s="12" t="s">
        <v>321</v>
      </c>
      <c r="R83" s="6" t="s">
        <v>23</v>
      </c>
      <c r="S83" s="6" t="s">
        <v>479</v>
      </c>
      <c r="T83" s="6" t="s">
        <v>23</v>
      </c>
      <c r="U83" s="6" t="s">
        <v>23</v>
      </c>
      <c r="V83" s="6" t="s">
        <v>38</v>
      </c>
    </row>
    <row r="84" spans="1:22" s="6" customFormat="1" ht="13.2" x14ac:dyDescent="0.25">
      <c r="A84" s="16" t="b">
        <f>FALSE()</f>
        <v>0</v>
      </c>
      <c r="B84" s="7" t="s">
        <v>480</v>
      </c>
      <c r="C84" s="8" t="str">
        <f>IFERROR(VLOOKUP($B84,Pinouts!$A$4:$R$227,9,FALSE()),"")</f>
        <v>E2</v>
      </c>
      <c r="D84" s="8"/>
      <c r="E84" s="13" t="s">
        <v>3</v>
      </c>
      <c r="F84" s="6" t="str">
        <f>IFERROR(VLOOKUP($B84,Pinouts!$A$5:$R$227,3,FALSE()),"")</f>
        <v>-</v>
      </c>
      <c r="G84" s="6" t="s">
        <v>23</v>
      </c>
      <c r="H84" s="6" t="s">
        <v>23</v>
      </c>
      <c r="I84" s="6" t="s">
        <v>23</v>
      </c>
      <c r="J84" s="6" t="s">
        <v>23</v>
      </c>
      <c r="K84" s="6" t="s">
        <v>190</v>
      </c>
      <c r="L84" s="6" t="s">
        <v>23</v>
      </c>
      <c r="M84" s="6" t="s">
        <v>23</v>
      </c>
      <c r="N84" s="6" t="s">
        <v>23</v>
      </c>
      <c r="O84" s="6" t="s">
        <v>23</v>
      </c>
      <c r="P84" s="6" t="s">
        <v>23</v>
      </c>
      <c r="Q84" s="6" t="s">
        <v>23</v>
      </c>
      <c r="R84" s="6" t="s">
        <v>23</v>
      </c>
      <c r="S84" s="6" t="s">
        <v>481</v>
      </c>
      <c r="T84" s="6" t="s">
        <v>482</v>
      </c>
      <c r="U84" s="6" t="s">
        <v>23</v>
      </c>
      <c r="V84" s="6" t="s">
        <v>38</v>
      </c>
    </row>
    <row r="85" spans="1:22" s="6" customFormat="1" ht="13.2" x14ac:dyDescent="0.25">
      <c r="A85" s="16" t="b">
        <f>FALSE()</f>
        <v>0</v>
      </c>
      <c r="B85" s="7" t="s">
        <v>483</v>
      </c>
      <c r="C85" s="8" t="str">
        <f>IFERROR(VLOOKUP($B85,Pinouts!$A$4:$R$227,9,FALSE()),"")</f>
        <v>F3</v>
      </c>
      <c r="D85" s="8"/>
      <c r="E85" s="13" t="s">
        <v>3</v>
      </c>
      <c r="F85" s="6" t="str">
        <f>IFERROR(VLOOKUP($B85,Pinouts!$A$5:$R$227,3,FALSE()),"")</f>
        <v>-</v>
      </c>
      <c r="G85" s="6" t="s">
        <v>23</v>
      </c>
      <c r="H85" s="6" t="s">
        <v>23</v>
      </c>
      <c r="I85" s="6" t="s">
        <v>23</v>
      </c>
      <c r="J85" s="6" t="s">
        <v>23</v>
      </c>
      <c r="K85" s="6" t="s">
        <v>183</v>
      </c>
      <c r="L85" s="6" t="s">
        <v>23</v>
      </c>
      <c r="M85" s="6" t="s">
        <v>23</v>
      </c>
      <c r="N85" s="6" t="s">
        <v>23</v>
      </c>
      <c r="O85" s="6" t="s">
        <v>23</v>
      </c>
      <c r="P85" s="6" t="s">
        <v>23</v>
      </c>
      <c r="Q85" s="6" t="s">
        <v>23</v>
      </c>
      <c r="R85" s="6" t="s">
        <v>23</v>
      </c>
      <c r="S85" s="6" t="s">
        <v>484</v>
      </c>
      <c r="T85" s="6" t="s">
        <v>485</v>
      </c>
      <c r="U85" s="6" t="s">
        <v>23</v>
      </c>
      <c r="V85" s="6" t="s">
        <v>38</v>
      </c>
    </row>
    <row r="86" spans="1:22" s="6" customFormat="1" ht="13.2" x14ac:dyDescent="0.25">
      <c r="A86" s="16" t="b">
        <f>TRUE()</f>
        <v>1</v>
      </c>
      <c r="B86" s="7" t="s">
        <v>486</v>
      </c>
      <c r="C86" s="8" t="str">
        <f>IFERROR(VLOOKUP($B86,Pinouts!$A$4:$R$227,9,FALSE()),"")</f>
        <v>H4</v>
      </c>
      <c r="D86" s="8" t="s">
        <v>1031</v>
      </c>
      <c r="E86" s="8" t="s">
        <v>3</v>
      </c>
      <c r="F86" s="6" t="str">
        <f>IFERROR(VLOOKUP($B86,Pinouts!$A$5:$R$227,3,FALSE()),"")</f>
        <v>-</v>
      </c>
      <c r="G86" s="6" t="s">
        <v>23</v>
      </c>
      <c r="H86" s="6" t="s">
        <v>240</v>
      </c>
      <c r="I86" s="6" t="s">
        <v>320</v>
      </c>
      <c r="J86" s="6" t="s">
        <v>23</v>
      </c>
      <c r="K86" s="6" t="s">
        <v>332</v>
      </c>
      <c r="L86" s="6" t="s">
        <v>23</v>
      </c>
      <c r="M86" s="6" t="s">
        <v>23</v>
      </c>
      <c r="N86" s="6" t="s">
        <v>23</v>
      </c>
      <c r="O86" s="6" t="s">
        <v>23</v>
      </c>
      <c r="P86" s="12" t="s">
        <v>106</v>
      </c>
      <c r="Q86" s="6" t="s">
        <v>23</v>
      </c>
      <c r="R86" s="6" t="s">
        <v>23</v>
      </c>
      <c r="S86" s="6" t="s">
        <v>23</v>
      </c>
      <c r="T86" s="6" t="s">
        <v>92</v>
      </c>
      <c r="U86" s="6" t="s">
        <v>23</v>
      </c>
      <c r="V86" s="6" t="s">
        <v>38</v>
      </c>
    </row>
    <row r="87" spans="1:22" s="6" customFormat="1" ht="13.2" x14ac:dyDescent="0.25">
      <c r="A87" s="16" t="b">
        <f>TRUE()</f>
        <v>1</v>
      </c>
      <c r="B87" s="7" t="s">
        <v>487</v>
      </c>
      <c r="C87" s="8" t="str">
        <f>IFERROR(VLOOKUP($B87,Pinouts!$A$4:$R$227,9,FALSE()),"")</f>
        <v>J6</v>
      </c>
      <c r="D87" s="8" t="s">
        <v>493</v>
      </c>
      <c r="E87" s="8" t="s">
        <v>3</v>
      </c>
      <c r="F87" s="12" t="str">
        <f>IFERROR(VLOOKUP($B87,Pinouts!$A$5:$R$227,3,FALSE()),"")</f>
        <v>ADC1_INP2</v>
      </c>
      <c r="G87" s="6" t="s">
        <v>23</v>
      </c>
      <c r="H87" s="6" t="s">
        <v>23</v>
      </c>
      <c r="I87" s="6" t="s">
        <v>23</v>
      </c>
      <c r="J87" s="6" t="s">
        <v>23</v>
      </c>
      <c r="K87" s="6" t="s">
        <v>23</v>
      </c>
      <c r="L87" s="6" t="s">
        <v>489</v>
      </c>
      <c r="M87" s="6" t="s">
        <v>23</v>
      </c>
      <c r="N87" s="6" t="s">
        <v>23</v>
      </c>
      <c r="O87" s="6" t="s">
        <v>23</v>
      </c>
      <c r="P87" s="6" t="s">
        <v>196</v>
      </c>
      <c r="Q87" s="6" t="s">
        <v>35</v>
      </c>
      <c r="R87" s="6" t="s">
        <v>23</v>
      </c>
      <c r="S87" s="6" t="s">
        <v>490</v>
      </c>
      <c r="T87" s="6" t="s">
        <v>386</v>
      </c>
      <c r="U87" s="6" t="s">
        <v>491</v>
      </c>
      <c r="V87" s="6" t="s">
        <v>38</v>
      </c>
    </row>
    <row r="88" spans="1:22" s="6" customFormat="1" ht="13.2" x14ac:dyDescent="0.25">
      <c r="A88" s="16" t="b">
        <f>TRUE()</f>
        <v>1</v>
      </c>
      <c r="B88" s="7" t="s">
        <v>492</v>
      </c>
      <c r="C88" s="8" t="str">
        <f>IFERROR(VLOOKUP($B88,Pinouts!$A$4:$R$227,9,FALSE()),"")</f>
        <v>K6</v>
      </c>
      <c r="D88" s="8" t="s">
        <v>488</v>
      </c>
      <c r="E88" s="8" t="s">
        <v>3</v>
      </c>
      <c r="F88" s="12" t="str">
        <f>IFERROR(VLOOKUP($B88,Pinouts!$A$5:$R$227,3,FALSE()),"")</f>
        <v>ADC1_INP6, ADC1_INN2</v>
      </c>
      <c r="G88" s="6" t="s">
        <v>23</v>
      </c>
      <c r="H88" s="6" t="s">
        <v>23</v>
      </c>
      <c r="I88" s="6" t="s">
        <v>23</v>
      </c>
      <c r="J88" s="6" t="s">
        <v>23</v>
      </c>
      <c r="K88" s="6" t="s">
        <v>23</v>
      </c>
      <c r="L88" s="6" t="s">
        <v>23</v>
      </c>
      <c r="M88" s="6" t="s">
        <v>23</v>
      </c>
      <c r="N88" s="6" t="s">
        <v>23</v>
      </c>
      <c r="O88" s="6" t="s">
        <v>23</v>
      </c>
      <c r="P88" s="6" t="s">
        <v>23</v>
      </c>
      <c r="Q88" s="6" t="s">
        <v>23</v>
      </c>
      <c r="R88" s="6" t="s">
        <v>23</v>
      </c>
      <c r="S88" s="6" t="s">
        <v>494</v>
      </c>
      <c r="T88" s="6" t="s">
        <v>23</v>
      </c>
      <c r="U88" s="6" t="s">
        <v>495</v>
      </c>
      <c r="V88" s="6" t="s">
        <v>38</v>
      </c>
    </row>
    <row r="89" spans="1:22" s="6" customFormat="1" ht="13.2" x14ac:dyDescent="0.25">
      <c r="A89" s="16" t="b">
        <f>TRUE()</f>
        <v>1</v>
      </c>
      <c r="B89" s="7" t="s">
        <v>496</v>
      </c>
      <c r="C89" s="8" t="str">
        <f>IFERROR(VLOOKUP($B89,Pinouts!$A$4:$R$227,9,FALSE()),"")</f>
        <v>H7</v>
      </c>
      <c r="D89" s="8" t="s">
        <v>497</v>
      </c>
      <c r="E89" s="8" t="s">
        <v>3</v>
      </c>
      <c r="F89" s="12" t="str">
        <f>IFERROR(VLOOKUP($B89,Pinouts!$A$5:$R$227,3,FALSE()),"")</f>
        <v>ADC2_INP2</v>
      </c>
      <c r="G89" s="6" t="s">
        <v>23</v>
      </c>
      <c r="H89" s="6" t="s">
        <v>23</v>
      </c>
      <c r="I89" s="6" t="s">
        <v>23</v>
      </c>
      <c r="J89" s="6" t="s">
        <v>23</v>
      </c>
      <c r="K89" s="6" t="s">
        <v>248</v>
      </c>
      <c r="L89" s="6" t="s">
        <v>23</v>
      </c>
      <c r="M89" s="6" t="s">
        <v>23</v>
      </c>
      <c r="N89" s="6" t="s">
        <v>23</v>
      </c>
      <c r="O89" s="6" t="s">
        <v>23</v>
      </c>
      <c r="P89" s="6" t="s">
        <v>23</v>
      </c>
      <c r="Q89" s="6" t="s">
        <v>23</v>
      </c>
      <c r="R89" s="6" t="s">
        <v>23</v>
      </c>
      <c r="S89" s="6" t="s">
        <v>498</v>
      </c>
      <c r="T89" s="6" t="s">
        <v>23</v>
      </c>
      <c r="U89" s="6" t="s">
        <v>499</v>
      </c>
      <c r="V89" s="6" t="s">
        <v>38</v>
      </c>
    </row>
    <row r="90" spans="1:22" s="6" customFormat="1" ht="13.2" x14ac:dyDescent="0.25">
      <c r="A90" s="16" t="b">
        <f>FALSE()</f>
        <v>0</v>
      </c>
      <c r="B90" s="7" t="s">
        <v>500</v>
      </c>
      <c r="C90" s="8" t="str">
        <f>IFERROR(VLOOKUP($B90,Pinouts!$A$4:$R$227,9,FALSE()),"")</f>
        <v>L6</v>
      </c>
      <c r="D90" s="8"/>
      <c r="E90" s="8" t="s">
        <v>3</v>
      </c>
      <c r="F90" s="12" t="str">
        <f>IFERROR(VLOOKUP($B90,Pinouts!$A$5:$R$227,3,FALSE()),"")</f>
        <v>ADC2_INP6, ADC2_INN2</v>
      </c>
      <c r="G90" s="6" t="s">
        <v>23</v>
      </c>
      <c r="H90" s="6" t="s">
        <v>23</v>
      </c>
      <c r="I90" s="6" t="s">
        <v>23</v>
      </c>
      <c r="J90" s="6" t="s">
        <v>23</v>
      </c>
      <c r="K90" s="6" t="s">
        <v>23</v>
      </c>
      <c r="L90" s="6" t="s">
        <v>23</v>
      </c>
      <c r="M90" s="6" t="s">
        <v>23</v>
      </c>
      <c r="N90" s="6" t="s">
        <v>23</v>
      </c>
      <c r="O90" s="6" t="s">
        <v>23</v>
      </c>
      <c r="P90" s="6" t="s">
        <v>23</v>
      </c>
      <c r="Q90" s="6" t="s">
        <v>23</v>
      </c>
      <c r="R90" s="6" t="s">
        <v>23</v>
      </c>
      <c r="S90" s="6" t="s">
        <v>501</v>
      </c>
      <c r="T90" s="6" t="s">
        <v>23</v>
      </c>
      <c r="U90" s="6" t="s">
        <v>502</v>
      </c>
      <c r="V90" s="6" t="s">
        <v>38</v>
      </c>
    </row>
    <row r="91" spans="1:22" s="6" customFormat="1" ht="13.2" x14ac:dyDescent="0.25">
      <c r="A91" s="16" t="b">
        <f>FALSE()</f>
        <v>0</v>
      </c>
      <c r="B91" s="7" t="s">
        <v>503</v>
      </c>
      <c r="C91" s="8" t="str">
        <f>IFERROR(VLOOKUP($B91,Pinouts!$A$4:$R$227,9,FALSE()),"")</f>
        <v>J7</v>
      </c>
      <c r="D91" s="8"/>
      <c r="E91" s="8" t="s">
        <v>3</v>
      </c>
      <c r="F91" s="6" t="str">
        <f>IFERROR(VLOOKUP($B91,Pinouts!$A$5:$R$227,3,FALSE()),"")</f>
        <v>-</v>
      </c>
      <c r="G91" s="6" t="s">
        <v>23</v>
      </c>
      <c r="H91" s="6" t="s">
        <v>23</v>
      </c>
      <c r="I91" s="6" t="s">
        <v>23</v>
      </c>
      <c r="J91" s="6" t="s">
        <v>23</v>
      </c>
      <c r="K91" s="6" t="s">
        <v>265</v>
      </c>
      <c r="L91" s="6" t="s">
        <v>263</v>
      </c>
      <c r="M91" s="6" t="s">
        <v>23</v>
      </c>
      <c r="N91" s="6" t="s">
        <v>23</v>
      </c>
      <c r="O91" s="6" t="s">
        <v>23</v>
      </c>
      <c r="P91" s="6" t="s">
        <v>23</v>
      </c>
      <c r="Q91" s="6" t="s">
        <v>23</v>
      </c>
      <c r="R91" s="6" t="s">
        <v>23</v>
      </c>
      <c r="S91" s="6" t="s">
        <v>504</v>
      </c>
      <c r="T91" s="6" t="s">
        <v>23</v>
      </c>
      <c r="U91" s="6" t="s">
        <v>23</v>
      </c>
      <c r="V91" s="6" t="s">
        <v>38</v>
      </c>
    </row>
    <row r="92" spans="1:22" s="6" customFormat="1" ht="13.2" x14ac:dyDescent="0.25">
      <c r="A92" s="16" t="b">
        <f>FALSE()</f>
        <v>0</v>
      </c>
      <c r="B92" s="7" t="s">
        <v>505</v>
      </c>
      <c r="C92" s="8" t="str">
        <f>IFERROR(VLOOKUP($B92,Pinouts!$A$4:$R$227,9,FALSE()),"")</f>
        <v>F4</v>
      </c>
      <c r="D92" s="8"/>
      <c r="E92" s="13" t="s">
        <v>3</v>
      </c>
      <c r="F92" s="6" t="str">
        <f>IFERROR(VLOOKUP($B92,Pinouts!$A$5:$R$227,3,FALSE()),"")</f>
        <v>-</v>
      </c>
      <c r="G92" s="6" t="s">
        <v>23</v>
      </c>
      <c r="H92" s="6" t="s">
        <v>23</v>
      </c>
      <c r="I92" s="6" t="s">
        <v>179</v>
      </c>
      <c r="J92" s="6" t="s">
        <v>85</v>
      </c>
      <c r="K92" s="6" t="s">
        <v>203</v>
      </c>
      <c r="L92" s="6" t="s">
        <v>23</v>
      </c>
      <c r="M92" s="6" t="s">
        <v>432</v>
      </c>
      <c r="N92" s="6" t="s">
        <v>169</v>
      </c>
      <c r="O92" s="6" t="s">
        <v>23</v>
      </c>
      <c r="P92" s="6" t="s">
        <v>23</v>
      </c>
      <c r="Q92" s="6" t="s">
        <v>23</v>
      </c>
      <c r="R92" s="6" t="s">
        <v>23</v>
      </c>
      <c r="S92" s="6" t="s">
        <v>506</v>
      </c>
      <c r="T92" s="6" t="s">
        <v>507</v>
      </c>
      <c r="U92" s="6" t="s">
        <v>23</v>
      </c>
      <c r="V92" s="6" t="s">
        <v>38</v>
      </c>
    </row>
    <row r="93" spans="1:22" s="6" customFormat="1" ht="13.2" x14ac:dyDescent="0.25">
      <c r="A93" s="16" t="b">
        <f>FALSE()</f>
        <v>0</v>
      </c>
      <c r="B93" s="7" t="s">
        <v>508</v>
      </c>
      <c r="C93" s="8" t="str">
        <f>IFERROR(VLOOKUP($B93,Pinouts!$A$4:$R$227,9,FALSE()),"")</f>
        <v>G6</v>
      </c>
      <c r="D93" s="8"/>
      <c r="E93" s="8" t="s">
        <v>3</v>
      </c>
      <c r="F93" s="6" t="str">
        <f>IFERROR(VLOOKUP($B93,Pinouts!$A$5:$R$227,3,FALSE()),"")</f>
        <v>-</v>
      </c>
      <c r="G93" s="6" t="s">
        <v>23</v>
      </c>
      <c r="H93" s="6" t="s">
        <v>23</v>
      </c>
      <c r="I93" s="6" t="s">
        <v>202</v>
      </c>
      <c r="J93" s="6" t="s">
        <v>23</v>
      </c>
      <c r="K93" s="6" t="s">
        <v>23</v>
      </c>
      <c r="L93" s="6" t="s">
        <v>23</v>
      </c>
      <c r="M93" s="6" t="s">
        <v>23</v>
      </c>
      <c r="N93" s="6" t="s">
        <v>129</v>
      </c>
      <c r="O93" s="6" t="s">
        <v>23</v>
      </c>
      <c r="P93" s="6" t="s">
        <v>23</v>
      </c>
      <c r="Q93" s="6" t="s">
        <v>23</v>
      </c>
      <c r="R93" s="6" t="s">
        <v>23</v>
      </c>
      <c r="S93" s="6" t="s">
        <v>509</v>
      </c>
      <c r="T93" s="6" t="s">
        <v>510</v>
      </c>
      <c r="U93" s="6" t="s">
        <v>23</v>
      </c>
      <c r="V93" s="6" t="s">
        <v>38</v>
      </c>
    </row>
    <row r="94" spans="1:22" s="6" customFormat="1" ht="13.2" x14ac:dyDescent="0.25">
      <c r="A94" s="16" t="b">
        <f>FALSE()</f>
        <v>0</v>
      </c>
      <c r="B94" s="7" t="s">
        <v>511</v>
      </c>
      <c r="C94" s="8" t="str">
        <f>IFERROR(VLOOKUP($B94,Pinouts!$A$4:$R$227,9,FALSE()),"")</f>
        <v>G5</v>
      </c>
      <c r="D94" s="8"/>
      <c r="E94" s="13" t="s">
        <v>3</v>
      </c>
      <c r="F94" s="6" t="str">
        <f>IFERROR(VLOOKUP($B94,Pinouts!$A$5:$R$227,3,FALSE()),"")</f>
        <v>-</v>
      </c>
      <c r="G94" s="6" t="s">
        <v>23</v>
      </c>
      <c r="H94" s="6" t="s">
        <v>23</v>
      </c>
      <c r="I94" s="6" t="s">
        <v>211</v>
      </c>
      <c r="J94" s="6" t="s">
        <v>23</v>
      </c>
      <c r="K94" s="6" t="s">
        <v>23</v>
      </c>
      <c r="L94" s="6" t="s">
        <v>23</v>
      </c>
      <c r="M94" s="6" t="s">
        <v>23</v>
      </c>
      <c r="N94" s="6" t="s">
        <v>138</v>
      </c>
      <c r="O94" s="6" t="s">
        <v>23</v>
      </c>
      <c r="P94" s="6" t="s">
        <v>23</v>
      </c>
      <c r="Q94" s="6" t="s">
        <v>23</v>
      </c>
      <c r="R94" s="6" t="s">
        <v>23</v>
      </c>
      <c r="S94" s="6" t="s">
        <v>512</v>
      </c>
      <c r="T94" s="6" t="s">
        <v>23</v>
      </c>
      <c r="U94" s="6" t="s">
        <v>23</v>
      </c>
      <c r="V94" s="6" t="s">
        <v>38</v>
      </c>
    </row>
    <row r="95" spans="1:22" s="6" customFormat="1" ht="13.2" x14ac:dyDescent="0.25">
      <c r="A95" s="16" t="b">
        <f>FALSE()</f>
        <v>0</v>
      </c>
      <c r="B95" s="7" t="s">
        <v>513</v>
      </c>
      <c r="C95" s="8" t="str">
        <f>IFERROR(VLOOKUP($B95,Pinouts!$A$4:$R$227,9,FALSE()),"")</f>
        <v>G3</v>
      </c>
      <c r="D95" s="8"/>
      <c r="E95" s="8" t="s">
        <v>3</v>
      </c>
      <c r="F95" s="6" t="str">
        <f>IFERROR(VLOOKUP($B95,Pinouts!$A$5:$R$227,3,FALSE()),"")</f>
        <v>-</v>
      </c>
      <c r="G95" s="6" t="s">
        <v>23</v>
      </c>
      <c r="H95" s="6" t="s">
        <v>23</v>
      </c>
      <c r="I95" s="6" t="s">
        <v>172</v>
      </c>
      <c r="J95" s="6" t="s">
        <v>23</v>
      </c>
      <c r="K95" s="6" t="s">
        <v>257</v>
      </c>
      <c r="L95" s="6" t="s">
        <v>255</v>
      </c>
      <c r="M95" s="6" t="s">
        <v>477</v>
      </c>
      <c r="N95" s="6" t="s">
        <v>217</v>
      </c>
      <c r="O95" s="6" t="s">
        <v>23</v>
      </c>
      <c r="P95" s="6" t="s">
        <v>23</v>
      </c>
      <c r="Q95" s="6" t="s">
        <v>23</v>
      </c>
      <c r="R95" s="6" t="s">
        <v>23</v>
      </c>
      <c r="S95" s="6" t="s">
        <v>514</v>
      </c>
      <c r="T95" s="6" t="s">
        <v>23</v>
      </c>
      <c r="U95" s="6" t="s">
        <v>202</v>
      </c>
      <c r="V95" s="6" t="s">
        <v>38</v>
      </c>
    </row>
    <row r="96" spans="1:22" s="6" customFormat="1" ht="13.2" x14ac:dyDescent="0.25">
      <c r="A96" s="16" t="b">
        <f>TRUE()</f>
        <v>1</v>
      </c>
      <c r="B96" s="7" t="s">
        <v>515</v>
      </c>
      <c r="C96" s="8" t="str">
        <f>IFERROR(VLOOKUP($B96,Pinouts!$A$4:$R$227,9,FALSE()),"")</f>
        <v>G7</v>
      </c>
      <c r="D96" s="8" t="s">
        <v>516</v>
      </c>
      <c r="E96" s="8" t="s">
        <v>3</v>
      </c>
      <c r="F96" s="6" t="str">
        <f>IFERROR(VLOOKUP($B96,Pinouts!$A$5:$R$227,3,FALSE()),"")</f>
        <v>-</v>
      </c>
      <c r="G96" s="6" t="s">
        <v>23</v>
      </c>
      <c r="H96" s="6" t="s">
        <v>272</v>
      </c>
      <c r="I96" s="6" t="s">
        <v>23</v>
      </c>
      <c r="J96" s="6" t="s">
        <v>23</v>
      </c>
      <c r="K96" s="6" t="s">
        <v>23</v>
      </c>
      <c r="L96" s="6" t="s">
        <v>517</v>
      </c>
      <c r="M96" s="6" t="s">
        <v>108</v>
      </c>
      <c r="N96" s="6" t="s">
        <v>153</v>
      </c>
      <c r="O96" s="6" t="s">
        <v>23</v>
      </c>
      <c r="P96" s="6" t="s">
        <v>23</v>
      </c>
      <c r="Q96" s="12" t="s">
        <v>48</v>
      </c>
      <c r="R96" s="6" t="s">
        <v>23</v>
      </c>
      <c r="S96" s="6" t="s">
        <v>23</v>
      </c>
      <c r="T96" s="6" t="s">
        <v>482</v>
      </c>
      <c r="U96" s="6" t="s">
        <v>23</v>
      </c>
      <c r="V96" s="6" t="s">
        <v>38</v>
      </c>
    </row>
    <row r="97" spans="1:22" s="6" customFormat="1" ht="13.2" x14ac:dyDescent="0.25">
      <c r="A97" s="16" t="b">
        <f>TRUE()</f>
        <v>1</v>
      </c>
      <c r="B97" s="7" t="s">
        <v>518</v>
      </c>
      <c r="C97" s="8" t="str">
        <f>IFERROR(VLOOKUP($B97,Pinouts!$A$4:$R$227,9,FALSE()),"")</f>
        <v>F1</v>
      </c>
      <c r="D97" s="8" t="s">
        <v>519</v>
      </c>
      <c r="E97" s="18" t="s">
        <v>3</v>
      </c>
      <c r="F97" s="6" t="str">
        <f>IFERROR(VLOOKUP($B97,Pinouts!$A$5:$R$227,3,FALSE()),"")</f>
        <v>-</v>
      </c>
      <c r="G97" s="6" t="s">
        <v>23</v>
      </c>
      <c r="H97" s="6" t="s">
        <v>281</v>
      </c>
      <c r="I97" s="6" t="s">
        <v>23</v>
      </c>
      <c r="J97" s="6" t="s">
        <v>23</v>
      </c>
      <c r="K97" s="6" t="s">
        <v>23</v>
      </c>
      <c r="L97" s="6" t="s">
        <v>520</v>
      </c>
      <c r="M97" s="6" t="s">
        <v>521</v>
      </c>
      <c r="N97" s="6" t="s">
        <v>90</v>
      </c>
      <c r="O97" s="6" t="s">
        <v>23</v>
      </c>
      <c r="P97" s="6" t="s">
        <v>23</v>
      </c>
      <c r="Q97" s="6" t="s">
        <v>141</v>
      </c>
      <c r="R97" s="6" t="s">
        <v>23</v>
      </c>
      <c r="S97" s="6" t="s">
        <v>23</v>
      </c>
      <c r="T97" s="6" t="s">
        <v>485</v>
      </c>
      <c r="U97" s="6" t="s">
        <v>23</v>
      </c>
      <c r="V97" s="6" t="s">
        <v>38</v>
      </c>
    </row>
    <row r="98" spans="1:22" s="6" customFormat="1" ht="13.2" x14ac:dyDescent="0.25">
      <c r="A98" s="16" t="b">
        <f>TRUE()</f>
        <v>1</v>
      </c>
      <c r="B98" s="7" t="s">
        <v>522</v>
      </c>
      <c r="C98" s="8" t="str">
        <f>IFERROR(VLOOKUP($B98,Pinouts!$A$4:$R$227,9,FALSE()),"")</f>
        <v>G4</v>
      </c>
      <c r="D98" s="8" t="s">
        <v>523</v>
      </c>
      <c r="E98" s="8" t="s">
        <v>3</v>
      </c>
      <c r="F98" s="6" t="str">
        <f>IFERROR(VLOOKUP($B98,Pinouts!$A$5:$R$227,3,FALSE()),"")</f>
        <v>-</v>
      </c>
      <c r="G98" s="6" t="s">
        <v>23</v>
      </c>
      <c r="H98" s="6" t="s">
        <v>253</v>
      </c>
      <c r="I98" s="6" t="s">
        <v>23</v>
      </c>
      <c r="J98" s="6" t="s">
        <v>23</v>
      </c>
      <c r="K98" s="6" t="s">
        <v>23</v>
      </c>
      <c r="L98" s="6" t="s">
        <v>524</v>
      </c>
      <c r="M98" s="6" t="s">
        <v>525</v>
      </c>
      <c r="N98" s="6" t="s">
        <v>478</v>
      </c>
      <c r="O98" s="6" t="s">
        <v>23</v>
      </c>
      <c r="P98" s="6" t="s">
        <v>131</v>
      </c>
      <c r="Q98" s="12" t="s">
        <v>177</v>
      </c>
      <c r="R98" s="6" t="s">
        <v>23</v>
      </c>
      <c r="S98" s="6" t="s">
        <v>23</v>
      </c>
      <c r="T98" s="6" t="s">
        <v>507</v>
      </c>
      <c r="U98" s="6" t="s">
        <v>23</v>
      </c>
      <c r="V98" s="6" t="s">
        <v>38</v>
      </c>
    </row>
    <row r="99" spans="1:22" s="6" customFormat="1" ht="13.2" x14ac:dyDescent="0.25">
      <c r="A99" s="16" t="b">
        <f>TRUE()</f>
        <v>1</v>
      </c>
      <c r="B99" s="7" t="s">
        <v>526</v>
      </c>
      <c r="C99" s="8" t="str">
        <f>IFERROR(VLOOKUP($B99,Pinouts!$A$4:$R$227,9,FALSE()),"")</f>
        <v>G2</v>
      </c>
      <c r="D99" s="8" t="s">
        <v>527</v>
      </c>
      <c r="E99" s="8" t="s">
        <v>3</v>
      </c>
      <c r="F99" s="6" t="str">
        <f>IFERROR(VLOOKUP($B99,Pinouts!$A$5:$R$227,3,FALSE()),"")</f>
        <v>-</v>
      </c>
      <c r="G99" s="6" t="s">
        <v>23</v>
      </c>
      <c r="H99" s="6" t="s">
        <v>261</v>
      </c>
      <c r="I99" s="6" t="s">
        <v>23</v>
      </c>
      <c r="J99" s="6" t="s">
        <v>23</v>
      </c>
      <c r="K99" s="6" t="s">
        <v>23</v>
      </c>
      <c r="L99" s="6" t="s">
        <v>489</v>
      </c>
      <c r="M99" s="6" t="s">
        <v>528</v>
      </c>
      <c r="N99" s="6" t="s">
        <v>433</v>
      </c>
      <c r="O99" s="6" t="s">
        <v>23</v>
      </c>
      <c r="P99" s="6" t="s">
        <v>140</v>
      </c>
      <c r="Q99" s="12" t="s">
        <v>168</v>
      </c>
      <c r="R99" s="6" t="s">
        <v>23</v>
      </c>
      <c r="S99" s="6" t="s">
        <v>23</v>
      </c>
      <c r="T99" s="6" t="s">
        <v>510</v>
      </c>
      <c r="U99" s="6" t="s">
        <v>23</v>
      </c>
      <c r="V99" s="6" t="s">
        <v>38</v>
      </c>
    </row>
    <row r="100" spans="1:22" s="6" customFormat="1" ht="13.2" x14ac:dyDescent="0.25">
      <c r="A100" s="16" t="b">
        <f>FALSE()</f>
        <v>0</v>
      </c>
      <c r="B100" s="7" t="s">
        <v>529</v>
      </c>
      <c r="C100" s="8" t="str">
        <f>IFERROR(VLOOKUP($B100,Pinouts!$A$4:$R$227,9,FALSE()),"")</f>
        <v>M6</v>
      </c>
      <c r="D100" s="8"/>
      <c r="E100" s="13" t="s">
        <v>3</v>
      </c>
      <c r="F100" s="6" t="str">
        <f>IFERROR(VLOOKUP($B100,Pinouts!$A$5:$R$227,3,FALSE()),"")</f>
        <v>-</v>
      </c>
      <c r="G100" s="6" t="s">
        <v>23</v>
      </c>
      <c r="H100" s="6" t="s">
        <v>23</v>
      </c>
      <c r="I100" s="6" t="s">
        <v>23</v>
      </c>
      <c r="J100" s="6" t="s">
        <v>23</v>
      </c>
      <c r="K100" s="6" t="s">
        <v>23</v>
      </c>
      <c r="L100" s="6" t="s">
        <v>23</v>
      </c>
      <c r="M100" s="6" t="s">
        <v>23</v>
      </c>
      <c r="N100" s="6" t="s">
        <v>23</v>
      </c>
      <c r="O100" s="6" t="s">
        <v>23</v>
      </c>
      <c r="P100" s="6" t="s">
        <v>23</v>
      </c>
      <c r="Q100" s="6" t="s">
        <v>23</v>
      </c>
      <c r="R100" s="6" t="s">
        <v>396</v>
      </c>
      <c r="S100" s="6" t="s">
        <v>530</v>
      </c>
      <c r="T100" s="6" t="s">
        <v>23</v>
      </c>
      <c r="U100" s="6" t="s">
        <v>392</v>
      </c>
      <c r="V100" s="6" t="s">
        <v>38</v>
      </c>
    </row>
    <row r="101" spans="1:22" s="6" customFormat="1" ht="13.2" x14ac:dyDescent="0.25">
      <c r="A101" s="16" t="b">
        <f>FALSE()</f>
        <v>0</v>
      </c>
      <c r="B101" s="7" t="s">
        <v>531</v>
      </c>
      <c r="C101" s="8" t="str">
        <f>IFERROR(VLOOKUP($B101,Pinouts!$A$4:$R$227,9,FALSE()),"")</f>
        <v>K7</v>
      </c>
      <c r="D101" s="8"/>
      <c r="E101" s="13" t="s">
        <v>3</v>
      </c>
      <c r="F101" s="6" t="str">
        <f>IFERROR(VLOOKUP($B101,Pinouts!$A$5:$R$227,3,FALSE()),"")</f>
        <v>-</v>
      </c>
      <c r="G101" s="6" t="s">
        <v>23</v>
      </c>
      <c r="H101" s="6" t="s">
        <v>23</v>
      </c>
      <c r="I101" s="6" t="s">
        <v>23</v>
      </c>
      <c r="J101" s="6" t="s">
        <v>23</v>
      </c>
      <c r="K101" s="6" t="s">
        <v>23</v>
      </c>
      <c r="L101" s="6" t="s">
        <v>23</v>
      </c>
      <c r="M101" s="6" t="s">
        <v>23</v>
      </c>
      <c r="N101" s="6" t="s">
        <v>216</v>
      </c>
      <c r="O101" s="6" t="s">
        <v>23</v>
      </c>
      <c r="P101" s="6" t="s">
        <v>23</v>
      </c>
      <c r="Q101" s="6" t="s">
        <v>23</v>
      </c>
      <c r="R101" s="6" t="s">
        <v>400</v>
      </c>
      <c r="S101" s="6" t="s">
        <v>532</v>
      </c>
      <c r="T101" s="6" t="s">
        <v>23</v>
      </c>
      <c r="U101" s="6" t="s">
        <v>23</v>
      </c>
      <c r="V101" s="6" t="s">
        <v>38</v>
      </c>
    </row>
    <row r="102" spans="1:22" s="6" customFormat="1" ht="13.2" x14ac:dyDescent="0.25">
      <c r="A102" s="16" t="b">
        <f>FALSE()</f>
        <v>0</v>
      </c>
      <c r="B102" s="7" t="s">
        <v>533</v>
      </c>
      <c r="C102" s="8" t="str">
        <f>IFERROR(VLOOKUP($B102,Pinouts!$A$4:$R$227,9,FALSE()),"")</f>
        <v>C7</v>
      </c>
      <c r="D102" s="8"/>
      <c r="E102" s="13" t="s">
        <v>3</v>
      </c>
      <c r="F102" s="6" t="str">
        <f>IFERROR(VLOOKUP($B102,Pinouts!$A$5:$R$227,3,FALSE()),"")</f>
        <v>-</v>
      </c>
      <c r="G102" s="6" t="s">
        <v>23</v>
      </c>
      <c r="H102" s="6" t="s">
        <v>23</v>
      </c>
      <c r="I102" s="6" t="s">
        <v>23</v>
      </c>
      <c r="J102" s="6" t="s">
        <v>23</v>
      </c>
      <c r="K102" s="6" t="s">
        <v>23</v>
      </c>
      <c r="L102" s="6" t="s">
        <v>87</v>
      </c>
      <c r="M102" s="6" t="s">
        <v>23</v>
      </c>
      <c r="N102" s="6" t="s">
        <v>23</v>
      </c>
      <c r="O102" s="6" t="s">
        <v>23</v>
      </c>
      <c r="P102" s="6" t="s">
        <v>23</v>
      </c>
      <c r="Q102" s="6" t="s">
        <v>35</v>
      </c>
      <c r="R102" s="6" t="s">
        <v>218</v>
      </c>
      <c r="S102" s="6" t="s">
        <v>534</v>
      </c>
      <c r="T102" s="6" t="s">
        <v>220</v>
      </c>
      <c r="U102" s="6" t="s">
        <v>23</v>
      </c>
      <c r="V102" s="6" t="s">
        <v>38</v>
      </c>
    </row>
    <row r="103" spans="1:22" s="6" customFormat="1" ht="13.2" x14ac:dyDescent="0.25">
      <c r="A103" s="16" t="b">
        <f>FALSE()</f>
        <v>0</v>
      </c>
      <c r="B103" s="7" t="s">
        <v>535</v>
      </c>
      <c r="C103" s="8" t="str">
        <f>IFERROR(VLOOKUP($B103,Pinouts!$A$4:$R$227,9,FALSE()),"")</f>
        <v>-</v>
      </c>
      <c r="D103" s="8"/>
      <c r="E103" s="8" t="s">
        <v>3</v>
      </c>
      <c r="F103" s="6" t="str">
        <f>IFERROR(VLOOKUP($B103,Pinouts!$A$5:$R$227,3,FALSE()),"")</f>
        <v>-</v>
      </c>
      <c r="G103" s="6" t="s">
        <v>23</v>
      </c>
      <c r="H103" s="6" t="s">
        <v>98</v>
      </c>
      <c r="I103" s="6" t="s">
        <v>23</v>
      </c>
      <c r="J103" s="6" t="s">
        <v>23</v>
      </c>
      <c r="K103" s="6" t="s">
        <v>23</v>
      </c>
      <c r="L103" s="6" t="s">
        <v>120</v>
      </c>
      <c r="M103" s="6" t="s">
        <v>456</v>
      </c>
      <c r="N103" s="6" t="s">
        <v>294</v>
      </c>
      <c r="O103" s="6" t="s">
        <v>23</v>
      </c>
      <c r="P103" s="6" t="s">
        <v>23</v>
      </c>
      <c r="Q103" s="6" t="s">
        <v>235</v>
      </c>
      <c r="R103" s="6" t="s">
        <v>122</v>
      </c>
      <c r="S103" s="6" t="s">
        <v>23</v>
      </c>
      <c r="T103" s="6" t="s">
        <v>155</v>
      </c>
      <c r="U103" s="6" t="s">
        <v>23</v>
      </c>
      <c r="V103" s="6" t="s">
        <v>38</v>
      </c>
    </row>
    <row r="104" spans="1:22" s="6" customFormat="1" ht="13.2" x14ac:dyDescent="0.25">
      <c r="A104" s="16" t="b">
        <f>FALSE()</f>
        <v>0</v>
      </c>
      <c r="B104" s="7" t="s">
        <v>536</v>
      </c>
      <c r="C104" s="8" t="str">
        <f>IFERROR(VLOOKUP($B104,Pinouts!$A$4:$R$227,9,FALSE()),"")</f>
        <v>D7</v>
      </c>
      <c r="D104" s="8"/>
      <c r="E104" s="8" t="s">
        <v>3</v>
      </c>
      <c r="F104" s="6" t="str">
        <f>IFERROR(VLOOKUP($B104,Pinouts!$A$5:$R$227,3,FALSE()),"")</f>
        <v>-</v>
      </c>
      <c r="G104" s="6" t="s">
        <v>23</v>
      </c>
      <c r="H104" s="6" t="s">
        <v>44</v>
      </c>
      <c r="I104" s="6" t="s">
        <v>23</v>
      </c>
      <c r="J104" s="6" t="s">
        <v>23</v>
      </c>
      <c r="K104" s="6" t="s">
        <v>332</v>
      </c>
      <c r="L104" s="6" t="s">
        <v>130</v>
      </c>
      <c r="M104" s="6" t="s">
        <v>459</v>
      </c>
      <c r="N104" s="6" t="s">
        <v>537</v>
      </c>
      <c r="O104" s="6" t="s">
        <v>23</v>
      </c>
      <c r="P104" s="6" t="s">
        <v>23</v>
      </c>
      <c r="Q104" s="6" t="s">
        <v>243</v>
      </c>
      <c r="R104" s="6" t="s">
        <v>219</v>
      </c>
      <c r="S104" s="6" t="s">
        <v>538</v>
      </c>
      <c r="T104" s="6" t="s">
        <v>92</v>
      </c>
      <c r="U104" s="6" t="s">
        <v>482</v>
      </c>
      <c r="V104" s="6" t="s">
        <v>38</v>
      </c>
    </row>
    <row r="105" spans="1:22" s="6" customFormat="1" ht="13.2" x14ac:dyDescent="0.25">
      <c r="A105" s="16" t="b">
        <f>FALSE()</f>
        <v>0</v>
      </c>
      <c r="B105" s="7" t="s">
        <v>539</v>
      </c>
      <c r="C105" s="8" t="str">
        <f>IFERROR(VLOOKUP($B105,Pinouts!$A$4:$R$227,9,FALSE()),"")</f>
        <v>-</v>
      </c>
      <c r="D105" s="8"/>
      <c r="E105" s="8" t="s">
        <v>3</v>
      </c>
      <c r="F105" s="6" t="str">
        <f>IFERROR(VLOOKUP($B105,Pinouts!$A$5:$R$227,3,FALSE()),"")</f>
        <v>-</v>
      </c>
      <c r="G105" s="6" t="s">
        <v>293</v>
      </c>
      <c r="H105" s="6" t="s">
        <v>226</v>
      </c>
      <c r="I105" s="6" t="s">
        <v>23</v>
      </c>
      <c r="J105" s="6" t="s">
        <v>23</v>
      </c>
      <c r="K105" s="6" t="s">
        <v>23</v>
      </c>
      <c r="L105" s="6" t="s">
        <v>121</v>
      </c>
      <c r="M105" s="6" t="s">
        <v>540</v>
      </c>
      <c r="N105" s="6" t="s">
        <v>541</v>
      </c>
      <c r="O105" s="6" t="s">
        <v>23</v>
      </c>
      <c r="P105" s="6" t="s">
        <v>23</v>
      </c>
      <c r="Q105" s="6" t="s">
        <v>343</v>
      </c>
      <c r="R105" s="6" t="s">
        <v>199</v>
      </c>
      <c r="S105" s="6" t="s">
        <v>542</v>
      </c>
      <c r="T105" s="6" t="s">
        <v>485</v>
      </c>
      <c r="U105" s="6" t="s">
        <v>23</v>
      </c>
      <c r="V105" s="6" t="s">
        <v>38</v>
      </c>
    </row>
    <row r="106" spans="1:22" s="6" customFormat="1" ht="13.2" x14ac:dyDescent="0.25">
      <c r="A106" s="16" t="b">
        <f>FALSE()</f>
        <v>0</v>
      </c>
      <c r="B106" s="7" t="s">
        <v>543</v>
      </c>
      <c r="C106" s="8" t="str">
        <f>IFERROR(VLOOKUP($B106,Pinouts!$A$4:$R$227,9,FALSE()),"")</f>
        <v>-</v>
      </c>
      <c r="D106" s="8"/>
      <c r="E106" s="8" t="s">
        <v>3</v>
      </c>
      <c r="F106" s="6" t="str">
        <f>IFERROR(VLOOKUP($B106,Pinouts!$A$5:$R$227,3,FALSE()),"")</f>
        <v>-</v>
      </c>
      <c r="G106" s="6" t="s">
        <v>355</v>
      </c>
      <c r="H106" s="6" t="s">
        <v>423</v>
      </c>
      <c r="I106" s="6" t="s">
        <v>23</v>
      </c>
      <c r="J106" s="6" t="s">
        <v>23</v>
      </c>
      <c r="K106" s="6" t="s">
        <v>241</v>
      </c>
      <c r="L106" s="6" t="s">
        <v>139</v>
      </c>
      <c r="M106" s="6" t="s">
        <v>544</v>
      </c>
      <c r="N106" s="6" t="s">
        <v>340</v>
      </c>
      <c r="O106" s="6" t="s">
        <v>23</v>
      </c>
      <c r="P106" s="6" t="s">
        <v>290</v>
      </c>
      <c r="Q106" s="6" t="s">
        <v>352</v>
      </c>
      <c r="R106" s="6" t="s">
        <v>219</v>
      </c>
      <c r="S106" s="6" t="s">
        <v>289</v>
      </c>
      <c r="T106" s="6" t="s">
        <v>507</v>
      </c>
      <c r="U106" s="6" t="s">
        <v>23</v>
      </c>
      <c r="V106" s="6" t="s">
        <v>38</v>
      </c>
    </row>
    <row r="107" spans="1:22" s="6" customFormat="1" ht="13.2" x14ac:dyDescent="0.25">
      <c r="A107" s="16" t="b">
        <f>FALSE()</f>
        <v>0</v>
      </c>
      <c r="B107" s="7" t="s">
        <v>545</v>
      </c>
      <c r="C107" s="8" t="str">
        <f>IFERROR(VLOOKUP($B107,Pinouts!$A$4:$R$227,9,FALSE()),"")</f>
        <v>B6</v>
      </c>
      <c r="D107" s="8"/>
      <c r="E107" s="8" t="s">
        <v>3</v>
      </c>
      <c r="F107" s="6" t="str">
        <f>IFERROR(VLOOKUP($B107,Pinouts!$A$5:$R$227,3,FALSE()),"")</f>
        <v>-</v>
      </c>
      <c r="G107" s="6" t="s">
        <v>23</v>
      </c>
      <c r="H107" s="6" t="s">
        <v>23</v>
      </c>
      <c r="I107" s="6" t="s">
        <v>23</v>
      </c>
      <c r="J107" s="6" t="s">
        <v>23</v>
      </c>
      <c r="K107" s="6" t="s">
        <v>23</v>
      </c>
      <c r="L107" s="6" t="s">
        <v>192</v>
      </c>
      <c r="M107" s="6" t="s">
        <v>451</v>
      </c>
      <c r="N107" s="6" t="s">
        <v>541</v>
      </c>
      <c r="O107" s="6" t="s">
        <v>23</v>
      </c>
      <c r="P107" s="6" t="s">
        <v>23</v>
      </c>
      <c r="Q107" s="6" t="s">
        <v>23</v>
      </c>
      <c r="R107" s="6" t="s">
        <v>23</v>
      </c>
      <c r="S107" s="6" t="s">
        <v>546</v>
      </c>
      <c r="T107" s="6" t="s">
        <v>391</v>
      </c>
      <c r="U107" s="6" t="s">
        <v>23</v>
      </c>
      <c r="V107" s="6" t="s">
        <v>38</v>
      </c>
    </row>
    <row r="108" spans="1:22" s="6" customFormat="1" ht="13.2" x14ac:dyDescent="0.25">
      <c r="A108" s="16" t="b">
        <v>1</v>
      </c>
      <c r="B108" s="7" t="s">
        <v>547</v>
      </c>
      <c r="C108" s="8" t="str">
        <f>IFERROR(VLOOKUP($B108,Pinouts!$A$4:$R$227,9,FALSE()),"")</f>
        <v>H13</v>
      </c>
      <c r="D108" s="8" t="s">
        <v>548</v>
      </c>
      <c r="E108" s="18" t="s">
        <v>3</v>
      </c>
      <c r="F108" s="6" t="str">
        <f>IFERROR(VLOOKUP($B108,Pinouts!$A$5:$R$227,3,FALSE()),"")</f>
        <v>-</v>
      </c>
      <c r="G108" s="6" t="s">
        <v>23</v>
      </c>
      <c r="H108" s="6" t="s">
        <v>23</v>
      </c>
      <c r="I108" s="6" t="s">
        <v>23</v>
      </c>
      <c r="J108" s="6" t="s">
        <v>127</v>
      </c>
      <c r="K108" s="6" t="s">
        <v>23</v>
      </c>
      <c r="L108" s="6" t="s">
        <v>23</v>
      </c>
      <c r="M108" s="6" t="s">
        <v>23</v>
      </c>
      <c r="N108" s="6" t="s">
        <v>477</v>
      </c>
      <c r="O108" s="6" t="s">
        <v>23</v>
      </c>
      <c r="P108" s="6" t="s">
        <v>23</v>
      </c>
      <c r="Q108" s="6" t="s">
        <v>23</v>
      </c>
      <c r="R108" s="6" t="s">
        <v>23</v>
      </c>
      <c r="S108" s="6" t="s">
        <v>549</v>
      </c>
      <c r="T108" s="6" t="s">
        <v>23</v>
      </c>
      <c r="U108" s="6" t="s">
        <v>237</v>
      </c>
      <c r="V108" s="6" t="s">
        <v>38</v>
      </c>
    </row>
    <row r="109" spans="1:22" s="6" customFormat="1" ht="13.2" x14ac:dyDescent="0.25">
      <c r="A109" s="16" t="b">
        <v>1</v>
      </c>
      <c r="B109" s="7" t="s">
        <v>550</v>
      </c>
      <c r="C109" s="8" t="str">
        <f>IFERROR(VLOOKUP($B109,Pinouts!$A$4:$R$227,9,FALSE()),"")</f>
        <v>G9</v>
      </c>
      <c r="D109" s="8" t="s">
        <v>551</v>
      </c>
      <c r="E109" s="18" t="s">
        <v>3</v>
      </c>
      <c r="F109" s="6" t="str">
        <f>IFERROR(VLOOKUP($B109,Pinouts!$A$5:$R$227,3,FALSE()),"")</f>
        <v>-</v>
      </c>
      <c r="G109" s="6" t="s">
        <v>23</v>
      </c>
      <c r="H109" s="6" t="s">
        <v>23</v>
      </c>
      <c r="I109" s="6" t="s">
        <v>23</v>
      </c>
      <c r="J109" s="6" t="s">
        <v>148</v>
      </c>
      <c r="K109" s="6" t="s">
        <v>23</v>
      </c>
      <c r="L109" s="6" t="s">
        <v>23</v>
      </c>
      <c r="M109" s="6" t="s">
        <v>23</v>
      </c>
      <c r="N109" s="6" t="s">
        <v>432</v>
      </c>
      <c r="O109" s="6" t="s">
        <v>23</v>
      </c>
      <c r="P109" s="6" t="s">
        <v>23</v>
      </c>
      <c r="Q109" s="6" t="s">
        <v>23</v>
      </c>
      <c r="R109" s="6" t="s">
        <v>23</v>
      </c>
      <c r="S109" s="6" t="s">
        <v>552</v>
      </c>
      <c r="T109" s="6" t="s">
        <v>230</v>
      </c>
      <c r="U109" s="6" t="s">
        <v>23</v>
      </c>
      <c r="V109" s="6" t="s">
        <v>38</v>
      </c>
    </row>
    <row r="110" spans="1:22" s="6" customFormat="1" ht="13.2" x14ac:dyDescent="0.25">
      <c r="A110" s="16" t="b">
        <f>FALSE()</f>
        <v>0</v>
      </c>
      <c r="B110" s="7" t="s">
        <v>553</v>
      </c>
      <c r="C110" s="8" t="str">
        <f>IFERROR(VLOOKUP($B110,Pinouts!$A$4:$R$227,9,FALSE()),"")</f>
        <v>G11</v>
      </c>
      <c r="D110" s="8"/>
      <c r="E110" s="8" t="s">
        <v>3</v>
      </c>
      <c r="F110" s="6" t="str">
        <f>IFERROR(VLOOKUP($B110,Pinouts!$A$5:$R$227,3,FALSE()),"")</f>
        <v>-</v>
      </c>
      <c r="G110" s="6" t="s">
        <v>23</v>
      </c>
      <c r="H110" s="6" t="s">
        <v>468</v>
      </c>
      <c r="I110" s="6" t="s">
        <v>23</v>
      </c>
      <c r="J110" s="6" t="s">
        <v>23</v>
      </c>
      <c r="K110" s="6" t="s">
        <v>23</v>
      </c>
      <c r="L110" s="6" t="s">
        <v>23</v>
      </c>
      <c r="M110" s="6" t="s">
        <v>23</v>
      </c>
      <c r="N110" s="6" t="s">
        <v>23</v>
      </c>
      <c r="O110" s="6" t="s">
        <v>23</v>
      </c>
      <c r="P110" s="6" t="s">
        <v>23</v>
      </c>
      <c r="Q110" s="6" t="s">
        <v>23</v>
      </c>
      <c r="R110" s="6" t="s">
        <v>23</v>
      </c>
      <c r="S110" s="6" t="s">
        <v>554</v>
      </c>
      <c r="T110" s="6" t="s">
        <v>23</v>
      </c>
      <c r="U110" s="6" t="s">
        <v>406</v>
      </c>
      <c r="V110" s="6" t="s">
        <v>38</v>
      </c>
    </row>
    <row r="111" spans="1:22" s="6" customFormat="1" ht="13.2" x14ac:dyDescent="0.25">
      <c r="A111" s="16" t="b">
        <f>FALSE()</f>
        <v>0</v>
      </c>
      <c r="B111" s="7" t="s">
        <v>555</v>
      </c>
      <c r="C111" s="8" t="str">
        <f>IFERROR(VLOOKUP($B111,Pinouts!$A$4:$R$227,9,FALSE()),"")</f>
        <v>F8</v>
      </c>
      <c r="D111" s="8"/>
      <c r="E111" s="8" t="s">
        <v>3</v>
      </c>
      <c r="F111" s="6" t="str">
        <f>IFERROR(VLOOKUP($B111,Pinouts!$A$5:$R$227,3,FALSE()),"")</f>
        <v>-</v>
      </c>
      <c r="G111" s="6" t="s">
        <v>23</v>
      </c>
      <c r="H111" s="6" t="s">
        <v>69</v>
      </c>
      <c r="I111" s="6" t="s">
        <v>23</v>
      </c>
      <c r="J111" s="6" t="s">
        <v>23</v>
      </c>
      <c r="K111" s="6" t="s">
        <v>23</v>
      </c>
      <c r="L111" s="6" t="s">
        <v>23</v>
      </c>
      <c r="M111" s="6" t="s">
        <v>23</v>
      </c>
      <c r="N111" s="6" t="s">
        <v>23</v>
      </c>
      <c r="O111" s="6" t="s">
        <v>23</v>
      </c>
      <c r="P111" s="6" t="s">
        <v>23</v>
      </c>
      <c r="Q111" s="6" t="s">
        <v>23</v>
      </c>
      <c r="R111" s="6" t="s">
        <v>23</v>
      </c>
      <c r="S111" s="6" t="s">
        <v>556</v>
      </c>
      <c r="T111" s="6" t="s">
        <v>23</v>
      </c>
      <c r="U111" s="6" t="s">
        <v>23</v>
      </c>
      <c r="V111" s="6" t="s">
        <v>38</v>
      </c>
    </row>
    <row r="112" spans="1:22" s="6" customFormat="1" ht="13.2" x14ac:dyDescent="0.25">
      <c r="A112" s="16" t="b">
        <f>FALSE()</f>
        <v>0</v>
      </c>
      <c r="B112" s="7" t="s">
        <v>557</v>
      </c>
      <c r="C112" s="8" t="str">
        <f>IFERROR(VLOOKUP($B112,Pinouts!$A$4:$R$227,9,FALSE()),"")</f>
        <v>G12</v>
      </c>
      <c r="D112" s="8"/>
      <c r="E112" s="8" t="s">
        <v>3</v>
      </c>
      <c r="F112" s="6" t="str">
        <f>IFERROR(VLOOKUP($B112,Pinouts!$A$5:$R$227,3,FALSE()),"")</f>
        <v>-</v>
      </c>
      <c r="G112" s="6" t="s">
        <v>23</v>
      </c>
      <c r="H112" s="6" t="s">
        <v>246</v>
      </c>
      <c r="I112" s="6" t="s">
        <v>23</v>
      </c>
      <c r="J112" s="6" t="s">
        <v>263</v>
      </c>
      <c r="K112" s="6" t="s">
        <v>265</v>
      </c>
      <c r="L112" s="6" t="s">
        <v>150</v>
      </c>
      <c r="M112" s="6" t="s">
        <v>23</v>
      </c>
      <c r="N112" s="6" t="s">
        <v>23</v>
      </c>
      <c r="O112" s="6" t="s">
        <v>23</v>
      </c>
      <c r="P112" s="6" t="s">
        <v>23</v>
      </c>
      <c r="Q112" s="6" t="s">
        <v>185</v>
      </c>
      <c r="R112" s="6" t="s">
        <v>56</v>
      </c>
      <c r="S112" s="6" t="s">
        <v>534</v>
      </c>
      <c r="T112" s="6" t="s">
        <v>386</v>
      </c>
      <c r="U112" s="6" t="s">
        <v>23</v>
      </c>
      <c r="V112" s="6" t="s">
        <v>38</v>
      </c>
    </row>
    <row r="113" spans="1:22" s="6" customFormat="1" ht="13.2" x14ac:dyDescent="0.25">
      <c r="A113" s="16" t="b">
        <f>FALSE()</f>
        <v>0</v>
      </c>
      <c r="B113" s="7" t="s">
        <v>558</v>
      </c>
      <c r="C113" s="8" t="str">
        <f>IFERROR(VLOOKUP($B113,Pinouts!$A$4:$R$227,9,FALSE()),"")</f>
        <v>F9</v>
      </c>
      <c r="D113" s="8"/>
      <c r="E113" s="8" t="s">
        <v>3</v>
      </c>
      <c r="F113" s="6" t="str">
        <f>IFERROR(VLOOKUP($B113,Pinouts!$A$5:$R$227,3,FALSE()),"")</f>
        <v>-</v>
      </c>
      <c r="G113" s="6" t="s">
        <v>23</v>
      </c>
      <c r="H113" s="6" t="s">
        <v>23</v>
      </c>
      <c r="I113" s="6" t="s">
        <v>465</v>
      </c>
      <c r="J113" s="6" t="s">
        <v>255</v>
      </c>
      <c r="K113" s="6" t="s">
        <v>257</v>
      </c>
      <c r="L113" s="6" t="s">
        <v>23</v>
      </c>
      <c r="M113" s="6" t="s">
        <v>288</v>
      </c>
      <c r="N113" s="6" t="s">
        <v>357</v>
      </c>
      <c r="O113" s="6" t="s">
        <v>23</v>
      </c>
      <c r="P113" s="6" t="s">
        <v>23</v>
      </c>
      <c r="Q113" s="6" t="s">
        <v>23</v>
      </c>
      <c r="R113" s="6" t="s">
        <v>56</v>
      </c>
      <c r="S113" s="6" t="s">
        <v>360</v>
      </c>
      <c r="T113" s="6" t="s">
        <v>391</v>
      </c>
      <c r="U113" s="6" t="s">
        <v>23</v>
      </c>
      <c r="V113" s="6" t="s">
        <v>38</v>
      </c>
    </row>
    <row r="114" spans="1:22" s="6" customFormat="1" ht="13.2" x14ac:dyDescent="0.25">
      <c r="A114" s="16" t="b">
        <f>FALSE()</f>
        <v>0</v>
      </c>
      <c r="B114" s="7" t="s">
        <v>559</v>
      </c>
      <c r="C114" s="8" t="str">
        <f>IFERROR(VLOOKUP($B114,Pinouts!$A$4:$R$227,9,FALSE()),"")</f>
        <v>G13</v>
      </c>
      <c r="D114" s="8"/>
      <c r="E114" s="8" t="s">
        <v>3</v>
      </c>
      <c r="F114" s="6" t="str">
        <f>IFERROR(VLOOKUP($B114,Pinouts!$A$5:$R$227,3,FALSE()),"")</f>
        <v>-</v>
      </c>
      <c r="G114" s="6" t="s">
        <v>23</v>
      </c>
      <c r="H114" s="6" t="s">
        <v>23</v>
      </c>
      <c r="I114" s="6" t="s">
        <v>23</v>
      </c>
      <c r="J114" s="6" t="s">
        <v>28</v>
      </c>
      <c r="K114" s="6" t="s">
        <v>23</v>
      </c>
      <c r="L114" s="6" t="s">
        <v>30</v>
      </c>
      <c r="M114" s="6" t="s">
        <v>23</v>
      </c>
      <c r="N114" s="6" t="s">
        <v>537</v>
      </c>
      <c r="O114" s="6" t="s">
        <v>23</v>
      </c>
      <c r="P114" s="6" t="s">
        <v>23</v>
      </c>
      <c r="Q114" s="6" t="s">
        <v>23</v>
      </c>
      <c r="R114" s="6" t="s">
        <v>249</v>
      </c>
      <c r="S114" s="6" t="s">
        <v>560</v>
      </c>
      <c r="T114" s="6" t="s">
        <v>23</v>
      </c>
      <c r="U114" s="6" t="s">
        <v>23</v>
      </c>
      <c r="V114" s="6" t="s">
        <v>38</v>
      </c>
    </row>
    <row r="115" spans="1:22" s="6" customFormat="1" ht="13.2" x14ac:dyDescent="0.25">
      <c r="A115" s="16" t="b">
        <f>FALSE()</f>
        <v>0</v>
      </c>
      <c r="B115" s="7" t="s">
        <v>561</v>
      </c>
      <c r="C115" s="8" t="str">
        <f>IFERROR(VLOOKUP($B115,Pinouts!$A$4:$R$227,9,FALSE()),"")</f>
        <v>E7</v>
      </c>
      <c r="D115" s="8"/>
      <c r="E115" s="8" t="s">
        <v>3</v>
      </c>
      <c r="F115" s="6" t="str">
        <f>IFERROR(VLOOKUP($B115,Pinouts!$A$5:$R$227,3,FALSE()),"")</f>
        <v>-</v>
      </c>
      <c r="G115" s="6" t="s">
        <v>23</v>
      </c>
      <c r="H115" s="6" t="s">
        <v>23</v>
      </c>
      <c r="I115" s="6" t="s">
        <v>23</v>
      </c>
      <c r="J115" s="6" t="s">
        <v>23</v>
      </c>
      <c r="K115" s="6" t="s">
        <v>23</v>
      </c>
      <c r="L115" s="6" t="s">
        <v>128</v>
      </c>
      <c r="M115" s="6" t="s">
        <v>23</v>
      </c>
      <c r="N115" s="6" t="s">
        <v>349</v>
      </c>
      <c r="O115" s="6" t="s">
        <v>23</v>
      </c>
      <c r="P115" s="6" t="s">
        <v>321</v>
      </c>
      <c r="Q115" s="6" t="s">
        <v>73</v>
      </c>
      <c r="R115" s="6" t="s">
        <v>210</v>
      </c>
      <c r="S115" s="6" t="s">
        <v>359</v>
      </c>
      <c r="T115" s="6" t="s">
        <v>269</v>
      </c>
      <c r="U115" s="6" t="s">
        <v>23</v>
      </c>
      <c r="V115" s="6" t="s">
        <v>38</v>
      </c>
    </row>
    <row r="116" spans="1:22" s="6" customFormat="1" ht="13.2" x14ac:dyDescent="0.25">
      <c r="A116" s="16" t="b">
        <f>TRUE()</f>
        <v>1</v>
      </c>
      <c r="B116" s="7" t="s">
        <v>562</v>
      </c>
      <c r="C116" s="8" t="str">
        <f>IFERROR(VLOOKUP($B116,Pinouts!$A$4:$R$227,9,FALSE()),"")</f>
        <v>H1</v>
      </c>
      <c r="D116" s="8" t="s">
        <v>563</v>
      </c>
      <c r="E116" s="8" t="s">
        <v>23</v>
      </c>
      <c r="F116" s="12" t="str">
        <f>IFERROR(VLOOKUP($B116,Pinouts!$A$5:$R$227,3,FALSE()),"")</f>
        <v>OSC_IN</v>
      </c>
      <c r="G116" s="6" t="s">
        <v>23</v>
      </c>
      <c r="H116" s="6" t="s">
        <v>23</v>
      </c>
      <c r="I116" s="6" t="s">
        <v>23</v>
      </c>
      <c r="J116" s="6" t="s">
        <v>23</v>
      </c>
      <c r="K116" s="6" t="s">
        <v>23</v>
      </c>
      <c r="L116" s="6" t="s">
        <v>23</v>
      </c>
      <c r="M116" s="6" t="s">
        <v>23</v>
      </c>
      <c r="N116" s="6" t="s">
        <v>23</v>
      </c>
      <c r="O116" s="6" t="s">
        <v>23</v>
      </c>
      <c r="P116" s="6" t="s">
        <v>23</v>
      </c>
      <c r="Q116" s="6" t="s">
        <v>23</v>
      </c>
      <c r="R116" s="6" t="s">
        <v>23</v>
      </c>
      <c r="S116" s="6" t="s">
        <v>23</v>
      </c>
      <c r="T116" s="6" t="s">
        <v>23</v>
      </c>
      <c r="U116" s="6" t="s">
        <v>23</v>
      </c>
      <c r="V116" s="6" t="s">
        <v>38</v>
      </c>
    </row>
    <row r="117" spans="1:22" s="6" customFormat="1" ht="13.2" x14ac:dyDescent="0.25">
      <c r="A117" s="16" t="b">
        <f>TRUE()</f>
        <v>1</v>
      </c>
      <c r="B117" s="7" t="s">
        <v>564</v>
      </c>
      <c r="C117" s="8" t="str">
        <f>IFERROR(VLOOKUP($B117,Pinouts!$A$4:$R$227,9,FALSE()),"")</f>
        <v>J1</v>
      </c>
      <c r="D117" s="8" t="s">
        <v>565</v>
      </c>
      <c r="E117" s="8" t="s">
        <v>23</v>
      </c>
      <c r="F117" s="12" t="str">
        <f>IFERROR(VLOOKUP($B117,Pinouts!$A$5:$R$227,3,FALSE()),"")</f>
        <v>OSC_OUT</v>
      </c>
      <c r="G117" s="6" t="s">
        <v>23</v>
      </c>
      <c r="H117" s="6" t="s">
        <v>23</v>
      </c>
      <c r="I117" s="6" t="s">
        <v>23</v>
      </c>
      <c r="J117" s="6" t="s">
        <v>23</v>
      </c>
      <c r="K117" s="6" t="s">
        <v>23</v>
      </c>
      <c r="L117" s="6" t="s">
        <v>23</v>
      </c>
      <c r="M117" s="6" t="s">
        <v>23</v>
      </c>
      <c r="N117" s="6" t="s">
        <v>23</v>
      </c>
      <c r="O117" s="6" t="s">
        <v>23</v>
      </c>
      <c r="P117" s="6" t="s">
        <v>23</v>
      </c>
      <c r="Q117" s="6" t="s">
        <v>23</v>
      </c>
      <c r="R117" s="6" t="s">
        <v>23</v>
      </c>
      <c r="S117" s="6" t="s">
        <v>23</v>
      </c>
      <c r="T117" s="6" t="s">
        <v>23</v>
      </c>
      <c r="U117" s="6" t="s">
        <v>23</v>
      </c>
      <c r="V117" s="6" t="s">
        <v>38</v>
      </c>
    </row>
    <row r="118" spans="1:22" s="6" customFormat="1" ht="13.2" x14ac:dyDescent="0.25">
      <c r="A118" s="16" t="b">
        <f>FALSE()</f>
        <v>0</v>
      </c>
      <c r="B118" s="7" t="s">
        <v>566</v>
      </c>
      <c r="C118" s="8" t="str">
        <f>IFERROR(VLOOKUP($B118,Pinouts!$A$4:$R$227,9,FALSE()),"")</f>
        <v>K10</v>
      </c>
      <c r="D118" s="8"/>
      <c r="E118" s="8" t="s">
        <v>3</v>
      </c>
      <c r="F118" s="6" t="str">
        <f>IFERROR(VLOOKUP($B118,Pinouts!$A$5:$R$227,3,FALSE()),"")</f>
        <v>-</v>
      </c>
      <c r="G118" s="6" t="s">
        <v>23</v>
      </c>
      <c r="H118" s="6" t="s">
        <v>135</v>
      </c>
      <c r="I118" s="6" t="s">
        <v>27</v>
      </c>
      <c r="J118" s="6" t="s">
        <v>356</v>
      </c>
      <c r="K118" s="6" t="s">
        <v>248</v>
      </c>
      <c r="L118" s="6" t="s">
        <v>567</v>
      </c>
      <c r="M118" s="6" t="s">
        <v>23</v>
      </c>
      <c r="N118" s="6" t="s">
        <v>23</v>
      </c>
      <c r="O118" s="6" t="s">
        <v>23</v>
      </c>
      <c r="P118" s="6" t="s">
        <v>23</v>
      </c>
      <c r="Q118" s="6" t="s">
        <v>23</v>
      </c>
      <c r="R118" s="6" t="s">
        <v>23</v>
      </c>
      <c r="S118" s="6" t="s">
        <v>23</v>
      </c>
      <c r="T118" s="6" t="s">
        <v>60</v>
      </c>
      <c r="U118" s="6" t="s">
        <v>23</v>
      </c>
      <c r="V118" s="6" t="s">
        <v>38</v>
      </c>
    </row>
    <row r="119" spans="1:22" s="6" customFormat="1" ht="13.2" x14ac:dyDescent="0.25">
      <c r="A119" s="16" t="b">
        <f>TRUE()</f>
        <v>1</v>
      </c>
      <c r="B119" s="7" t="s">
        <v>568</v>
      </c>
      <c r="C119" s="8" t="str">
        <f>IFERROR(VLOOKUP($B119,Pinouts!$A$4:$R$227,9,FALSE()),"")</f>
        <v>L13</v>
      </c>
      <c r="D119" s="8" t="s">
        <v>569</v>
      </c>
      <c r="E119" s="8" t="s">
        <v>3</v>
      </c>
      <c r="F119" s="6" t="str">
        <f>IFERROR(VLOOKUP($B119,Pinouts!$A$5:$R$227,3,FALSE()),"")</f>
        <v>-</v>
      </c>
      <c r="G119" s="6" t="s">
        <v>23</v>
      </c>
      <c r="H119" s="6" t="s">
        <v>147</v>
      </c>
      <c r="I119" s="6" t="s">
        <v>42</v>
      </c>
      <c r="J119" s="6" t="s">
        <v>176</v>
      </c>
      <c r="K119" s="12" t="s">
        <v>257</v>
      </c>
      <c r="L119" s="6" t="s">
        <v>255</v>
      </c>
      <c r="M119" s="6" t="s">
        <v>23</v>
      </c>
      <c r="N119" s="6" t="s">
        <v>23</v>
      </c>
      <c r="O119" s="6" t="s">
        <v>23</v>
      </c>
      <c r="P119" s="6" t="s">
        <v>23</v>
      </c>
      <c r="Q119" s="6" t="s">
        <v>23</v>
      </c>
      <c r="R119" s="6" t="s">
        <v>23</v>
      </c>
      <c r="S119" s="6" t="s">
        <v>23</v>
      </c>
      <c r="T119" s="6" t="s">
        <v>220</v>
      </c>
      <c r="U119" s="6" t="s">
        <v>23</v>
      </c>
      <c r="V119" s="6" t="s">
        <v>38</v>
      </c>
    </row>
    <row r="120" spans="1:22" s="6" customFormat="1" ht="13.2" x14ac:dyDescent="0.25">
      <c r="A120" s="16" t="b">
        <f>TRUE()</f>
        <v>1</v>
      </c>
      <c r="B120" s="7" t="s">
        <v>570</v>
      </c>
      <c r="C120" s="8" t="str">
        <f>IFERROR(VLOOKUP($B120,Pinouts!$A$4:$R$227,9,FALSE()),"")</f>
        <v>L12</v>
      </c>
      <c r="D120" s="8" t="s">
        <v>571</v>
      </c>
      <c r="E120" s="8" t="s">
        <v>3</v>
      </c>
      <c r="F120" s="6" t="str">
        <f>IFERROR(VLOOKUP($B120,Pinouts!$A$5:$R$227,3,FALSE()),"")</f>
        <v>-</v>
      </c>
      <c r="G120" s="6" t="s">
        <v>23</v>
      </c>
      <c r="H120" s="6" t="s">
        <v>125</v>
      </c>
      <c r="I120" s="6" t="s">
        <v>96</v>
      </c>
      <c r="J120" s="6" t="s">
        <v>127</v>
      </c>
      <c r="K120" s="12" t="s">
        <v>265</v>
      </c>
      <c r="L120" s="6" t="s">
        <v>263</v>
      </c>
      <c r="M120" s="6" t="s">
        <v>23</v>
      </c>
      <c r="N120" s="6" t="s">
        <v>23</v>
      </c>
      <c r="O120" s="6" t="s">
        <v>23</v>
      </c>
      <c r="P120" s="6" t="s">
        <v>23</v>
      </c>
      <c r="Q120" s="6" t="s">
        <v>225</v>
      </c>
      <c r="R120" s="6" t="s">
        <v>23</v>
      </c>
      <c r="S120" s="6" t="s">
        <v>23</v>
      </c>
      <c r="T120" s="6" t="s">
        <v>155</v>
      </c>
      <c r="U120" s="6" t="s">
        <v>23</v>
      </c>
      <c r="V120" s="6" t="s">
        <v>38</v>
      </c>
    </row>
    <row r="121" spans="1:22" s="6" customFormat="1" ht="13.2" x14ac:dyDescent="0.25">
      <c r="A121" s="16" t="b">
        <f>FALSE()</f>
        <v>0</v>
      </c>
      <c r="B121" s="7" t="s">
        <v>572</v>
      </c>
      <c r="C121" s="8" t="str">
        <f>IFERROR(VLOOKUP($B121,Pinouts!$A$4:$R$227,9,FALSE()),"")</f>
        <v>C12</v>
      </c>
      <c r="D121" s="8"/>
      <c r="E121" s="13" t="s">
        <v>3</v>
      </c>
      <c r="F121" s="6" t="str">
        <f>IFERROR(VLOOKUP($B121,Pinouts!$A$5:$R$227,3,FALSE()),"")</f>
        <v>-</v>
      </c>
      <c r="G121" s="6" t="s">
        <v>23</v>
      </c>
      <c r="H121" s="6" t="s">
        <v>98</v>
      </c>
      <c r="I121" s="6" t="s">
        <v>23</v>
      </c>
      <c r="J121" s="6" t="s">
        <v>119</v>
      </c>
      <c r="K121" s="6" t="s">
        <v>23</v>
      </c>
      <c r="L121" s="6" t="s">
        <v>23</v>
      </c>
      <c r="M121" s="6" t="s">
        <v>23</v>
      </c>
      <c r="N121" s="6" t="s">
        <v>429</v>
      </c>
      <c r="O121" s="6" t="s">
        <v>33</v>
      </c>
      <c r="P121" s="6" t="s">
        <v>74</v>
      </c>
      <c r="Q121" s="6" t="s">
        <v>23</v>
      </c>
      <c r="R121" s="6" t="s">
        <v>23</v>
      </c>
      <c r="S121" s="6" t="s">
        <v>23</v>
      </c>
      <c r="T121" s="6" t="s">
        <v>155</v>
      </c>
      <c r="U121" s="6" t="s">
        <v>23</v>
      </c>
      <c r="V121" s="6" t="s">
        <v>38</v>
      </c>
    </row>
    <row r="122" spans="1:22" s="6" customFormat="1" ht="13.2" x14ac:dyDescent="0.25">
      <c r="A122" s="16" t="b">
        <f>TRUE()</f>
        <v>1</v>
      </c>
      <c r="B122" s="7" t="s">
        <v>573</v>
      </c>
      <c r="C122" s="8" t="str">
        <f>IFERROR(VLOOKUP($B122,Pinouts!$A$4:$R$227,9,FALSE()),"")</f>
        <v>D11</v>
      </c>
      <c r="D122" s="8" t="s">
        <v>394</v>
      </c>
      <c r="E122" s="8" t="s">
        <v>3</v>
      </c>
      <c r="F122" s="6" t="str">
        <f>IFERROR(VLOOKUP($B122,Pinouts!$A$5:$R$227,3,FALSE()),"")</f>
        <v>-</v>
      </c>
      <c r="G122" s="6" t="s">
        <v>23</v>
      </c>
      <c r="H122" s="6" t="s">
        <v>23</v>
      </c>
      <c r="I122" s="6" t="s">
        <v>23</v>
      </c>
      <c r="J122" s="12" t="s">
        <v>167</v>
      </c>
      <c r="K122" s="6" t="s">
        <v>23</v>
      </c>
      <c r="L122" s="6" t="s">
        <v>23</v>
      </c>
      <c r="M122" s="6" t="s">
        <v>23</v>
      </c>
      <c r="N122" s="6" t="s">
        <v>23</v>
      </c>
      <c r="O122" s="6" t="s">
        <v>47</v>
      </c>
      <c r="P122" s="6" t="s">
        <v>66</v>
      </c>
      <c r="Q122" s="6" t="s">
        <v>23</v>
      </c>
      <c r="R122" s="6" t="s">
        <v>23</v>
      </c>
      <c r="S122" s="6" t="s">
        <v>23</v>
      </c>
      <c r="T122" s="6" t="s">
        <v>305</v>
      </c>
      <c r="U122" s="6" t="s">
        <v>23</v>
      </c>
      <c r="V122" s="6" t="s">
        <v>38</v>
      </c>
    </row>
    <row r="123" spans="1:22" s="6" customFormat="1" ht="13.2" x14ac:dyDescent="0.25">
      <c r="A123" s="16" t="b">
        <f>FALSE()</f>
        <v>0</v>
      </c>
      <c r="B123" s="7" t="s">
        <v>574</v>
      </c>
      <c r="C123" s="8" t="str">
        <f>IFERROR(VLOOKUP($B123,Pinouts!$A$4:$R$227,9,FALSE()),"")</f>
        <v>A13</v>
      </c>
      <c r="D123" s="8"/>
      <c r="E123" s="13" t="s">
        <v>3</v>
      </c>
      <c r="F123" s="6" t="str">
        <f>IFERROR(VLOOKUP($B123,Pinouts!$A$5:$R$227,3,FALSE()),"")</f>
        <v>-</v>
      </c>
      <c r="G123" s="6" t="s">
        <v>23</v>
      </c>
      <c r="H123" s="6" t="s">
        <v>23</v>
      </c>
      <c r="I123" s="6" t="s">
        <v>23</v>
      </c>
      <c r="J123" s="6" t="s">
        <v>176</v>
      </c>
      <c r="K123" s="6" t="s">
        <v>23</v>
      </c>
      <c r="L123" s="6" t="s">
        <v>23</v>
      </c>
      <c r="M123" s="6" t="s">
        <v>23</v>
      </c>
      <c r="N123" s="6" t="s">
        <v>23</v>
      </c>
      <c r="O123" s="6" t="s">
        <v>23</v>
      </c>
      <c r="P123" s="6" t="s">
        <v>23</v>
      </c>
      <c r="Q123" s="6" t="s">
        <v>23</v>
      </c>
      <c r="R123" s="6" t="s">
        <v>23</v>
      </c>
      <c r="S123" s="6" t="s">
        <v>23</v>
      </c>
      <c r="T123" s="6" t="s">
        <v>92</v>
      </c>
      <c r="U123" s="6" t="s">
        <v>23</v>
      </c>
      <c r="V123" s="6" t="s">
        <v>38</v>
      </c>
    </row>
    <row r="124" spans="1:22" s="6" customFormat="1" ht="13.2" x14ac:dyDescent="0.25">
      <c r="A124" s="16" t="b">
        <f>TRUE()</f>
        <v>1</v>
      </c>
      <c r="B124" s="7" t="s">
        <v>575</v>
      </c>
      <c r="C124" s="8" t="str">
        <f>IFERROR(VLOOKUP($B124,Pinouts!$A$4:$R$227,9,FALSE()),"")</f>
        <v>J4</v>
      </c>
      <c r="D124" s="8" t="s">
        <v>576</v>
      </c>
      <c r="E124" s="8" t="s">
        <v>3</v>
      </c>
      <c r="F124" s="6" t="str">
        <f>IFERROR(VLOOKUP($B124,Pinouts!$A$5:$R$227,3,FALSE()),"")</f>
        <v>-</v>
      </c>
      <c r="G124" s="6" t="s">
        <v>23</v>
      </c>
      <c r="H124" s="6" t="s">
        <v>98</v>
      </c>
      <c r="I124" s="6" t="s">
        <v>23</v>
      </c>
      <c r="J124" s="6" t="s">
        <v>23</v>
      </c>
      <c r="K124" s="6" t="s">
        <v>23</v>
      </c>
      <c r="L124" s="6" t="s">
        <v>23</v>
      </c>
      <c r="M124" s="6" t="s">
        <v>23</v>
      </c>
      <c r="N124" s="6" t="s">
        <v>23</v>
      </c>
      <c r="O124" s="6" t="s">
        <v>23</v>
      </c>
      <c r="P124" s="12" t="s">
        <v>297</v>
      </c>
      <c r="Q124" s="6" t="s">
        <v>100</v>
      </c>
      <c r="R124" s="6" t="s">
        <v>36</v>
      </c>
      <c r="S124" s="6" t="s">
        <v>323</v>
      </c>
      <c r="T124" s="6" t="s">
        <v>23</v>
      </c>
      <c r="U124" s="6" t="s">
        <v>23</v>
      </c>
      <c r="V124" s="6" t="s">
        <v>38</v>
      </c>
    </row>
    <row r="125" spans="1:22" s="6" customFormat="1" ht="13.2" x14ac:dyDescent="0.25">
      <c r="A125" s="16" t="b">
        <f>TRUE()</f>
        <v>1</v>
      </c>
      <c r="B125" s="7" t="s">
        <v>577</v>
      </c>
      <c r="C125" s="8" t="str">
        <f>IFERROR(VLOOKUP($B125,Pinouts!$A$4:$R$227,9,FALSE()),"")</f>
        <v>N2</v>
      </c>
      <c r="D125" s="8" t="s">
        <v>1032</v>
      </c>
      <c r="E125" s="18" t="s">
        <v>3</v>
      </c>
      <c r="F125" s="6" t="str">
        <f>IFERROR(VLOOKUP($B125,Pinouts!$A$5:$R$227,3,FALSE()),"")</f>
        <v>-</v>
      </c>
      <c r="G125" s="6" t="s">
        <v>23</v>
      </c>
      <c r="H125" s="6" t="s">
        <v>23</v>
      </c>
      <c r="I125" s="6" t="s">
        <v>23</v>
      </c>
      <c r="J125" s="6" t="s">
        <v>23</v>
      </c>
      <c r="K125" s="6" t="s">
        <v>23</v>
      </c>
      <c r="L125" s="6" t="s">
        <v>23</v>
      </c>
      <c r="M125" s="6" t="s">
        <v>23</v>
      </c>
      <c r="N125" s="6" t="s">
        <v>23</v>
      </c>
      <c r="O125" s="6" t="s">
        <v>23</v>
      </c>
      <c r="P125" s="6" t="s">
        <v>315</v>
      </c>
      <c r="Q125" s="6" t="s">
        <v>49</v>
      </c>
      <c r="R125" s="6" t="s">
        <v>110</v>
      </c>
      <c r="S125" s="6" t="s">
        <v>317</v>
      </c>
      <c r="T125" s="6" t="s">
        <v>23</v>
      </c>
      <c r="U125" s="6" t="s">
        <v>23</v>
      </c>
      <c r="V125" s="6" t="s">
        <v>38</v>
      </c>
    </row>
    <row r="126" spans="1:22" s="6" customFormat="1" ht="13.2" x14ac:dyDescent="0.25">
      <c r="A126" s="16" t="b">
        <f>TRUE()</f>
        <v>1</v>
      </c>
      <c r="B126" s="7" t="s">
        <v>578</v>
      </c>
      <c r="C126" s="8" t="str">
        <f>IFERROR(VLOOKUP($B126,Pinouts!$A$4:$R$227,9,FALSE()),"")</f>
        <v>N1</v>
      </c>
      <c r="D126" s="8" t="s">
        <v>1033</v>
      </c>
      <c r="E126" s="18" t="s">
        <v>3</v>
      </c>
      <c r="F126" s="6" t="str">
        <f>IFERROR(VLOOKUP($B126,Pinouts!$A$5:$R$227,3,FALSE()),"")</f>
        <v>-</v>
      </c>
      <c r="G126" s="6" t="s">
        <v>23</v>
      </c>
      <c r="H126" s="6" t="s">
        <v>23</v>
      </c>
      <c r="I126" s="6" t="s">
        <v>23</v>
      </c>
      <c r="J126" s="6" t="s">
        <v>23</v>
      </c>
      <c r="K126" s="6" t="s">
        <v>183</v>
      </c>
      <c r="L126" s="6" t="s">
        <v>567</v>
      </c>
      <c r="M126" s="6" t="s">
        <v>23</v>
      </c>
      <c r="N126" s="6" t="s">
        <v>579</v>
      </c>
      <c r="O126" s="6" t="s">
        <v>23</v>
      </c>
      <c r="P126" s="6" t="s">
        <v>23</v>
      </c>
      <c r="Q126" s="6" t="s">
        <v>23</v>
      </c>
      <c r="R126" s="6" t="s">
        <v>23</v>
      </c>
      <c r="S126" s="6" t="s">
        <v>23</v>
      </c>
      <c r="T126" s="6" t="s">
        <v>123</v>
      </c>
      <c r="U126" s="6" t="s">
        <v>23</v>
      </c>
      <c r="V126" s="6" t="s">
        <v>38</v>
      </c>
    </row>
    <row r="127" spans="1:22" s="6" customFormat="1" ht="13.2" x14ac:dyDescent="0.25">
      <c r="A127" s="16" t="b">
        <f>TRUE()</f>
        <v>1</v>
      </c>
      <c r="B127" s="7" t="s">
        <v>580</v>
      </c>
      <c r="C127" s="8" t="str">
        <f>IFERROR(VLOOKUP($B127,Pinouts!$A$4:$R$227,9,FALSE()),"")</f>
        <v>L4</v>
      </c>
      <c r="D127" s="8" t="s">
        <v>581</v>
      </c>
      <c r="E127" s="8" t="s">
        <v>3</v>
      </c>
      <c r="F127" s="6" t="str">
        <f>IFERROR(VLOOKUP($B127,Pinouts!$A$5:$R$227,3,FALSE()),"")</f>
        <v>-</v>
      </c>
      <c r="G127" s="6" t="s">
        <v>23</v>
      </c>
      <c r="H127" s="6" t="s">
        <v>23</v>
      </c>
      <c r="I127" s="6" t="s">
        <v>23</v>
      </c>
      <c r="J127" s="6" t="s">
        <v>23</v>
      </c>
      <c r="K127" s="6" t="s">
        <v>190</v>
      </c>
      <c r="L127" s="12" t="s">
        <v>517</v>
      </c>
      <c r="M127" s="6" t="s">
        <v>23</v>
      </c>
      <c r="N127" s="6" t="s">
        <v>579</v>
      </c>
      <c r="O127" s="6" t="s">
        <v>23</v>
      </c>
      <c r="P127" s="6" t="s">
        <v>23</v>
      </c>
      <c r="Q127" s="6" t="s">
        <v>23</v>
      </c>
      <c r="R127" s="6" t="s">
        <v>23</v>
      </c>
      <c r="S127" s="6" t="s">
        <v>143</v>
      </c>
      <c r="T127" s="6" t="s">
        <v>23</v>
      </c>
      <c r="U127" s="6" t="s">
        <v>23</v>
      </c>
      <c r="V127" s="6" t="s">
        <v>38</v>
      </c>
    </row>
    <row r="128" spans="1:22" s="6" customFormat="1" ht="13.2" x14ac:dyDescent="0.25">
      <c r="A128" s="16" t="b">
        <f>TRUE()</f>
        <v>1</v>
      </c>
      <c r="B128" s="7" t="s">
        <v>582</v>
      </c>
      <c r="C128" s="8" t="str">
        <f>IFERROR(VLOOKUP($B128,Pinouts!$A$4:$R$227,9,FALSE()),"")</f>
        <v>N13</v>
      </c>
      <c r="D128" s="8" t="s">
        <v>583</v>
      </c>
      <c r="E128" s="8" t="s">
        <v>3</v>
      </c>
      <c r="F128" s="6" t="str">
        <f>IFERROR(VLOOKUP($B128,Pinouts!$A$5:$R$227,3,FALSE()),"")</f>
        <v>-</v>
      </c>
      <c r="G128" s="6" t="s">
        <v>23</v>
      </c>
      <c r="H128" s="6" t="s">
        <v>174</v>
      </c>
      <c r="I128" s="6" t="s">
        <v>207</v>
      </c>
      <c r="J128" s="6" t="s">
        <v>337</v>
      </c>
      <c r="K128" s="6" t="s">
        <v>203</v>
      </c>
      <c r="L128" s="12" t="s">
        <v>520</v>
      </c>
      <c r="M128" s="6" t="s">
        <v>23</v>
      </c>
      <c r="N128" s="6" t="s">
        <v>23</v>
      </c>
      <c r="O128" s="6" t="s">
        <v>23</v>
      </c>
      <c r="P128" s="6" t="s">
        <v>23</v>
      </c>
      <c r="Q128" s="6" t="s">
        <v>23</v>
      </c>
      <c r="R128" s="6" t="s">
        <v>171</v>
      </c>
      <c r="S128" s="6" t="s">
        <v>258</v>
      </c>
      <c r="T128" s="6" t="s">
        <v>302</v>
      </c>
      <c r="U128" s="6" t="s">
        <v>23</v>
      </c>
      <c r="V128" s="6" t="s">
        <v>38</v>
      </c>
    </row>
    <row r="129" spans="1:22" s="6" customFormat="1" ht="13.2" x14ac:dyDescent="0.25">
      <c r="A129" s="16" t="b">
        <f>TRUE()</f>
        <v>1</v>
      </c>
      <c r="B129" s="7" t="s">
        <v>584</v>
      </c>
      <c r="C129" s="8" t="str">
        <f>IFERROR(VLOOKUP($B129,Pinouts!$A$4:$R$227,9,FALSE()),"")</f>
        <v>L11</v>
      </c>
      <c r="D129" s="8" t="s">
        <v>585</v>
      </c>
      <c r="E129" s="8" t="s">
        <v>3</v>
      </c>
      <c r="F129" s="6" t="str">
        <f>IFERROR(VLOOKUP($B129,Pinouts!$A$5:$R$227,3,FALSE()),"")</f>
        <v>-</v>
      </c>
      <c r="G129" s="6" t="s">
        <v>23</v>
      </c>
      <c r="H129" s="6" t="s">
        <v>53</v>
      </c>
      <c r="I129" s="6" t="s">
        <v>23</v>
      </c>
      <c r="J129" s="6" t="s">
        <v>119</v>
      </c>
      <c r="K129" s="6" t="s">
        <v>149</v>
      </c>
      <c r="L129" s="12" t="s">
        <v>524</v>
      </c>
      <c r="M129" s="6" t="s">
        <v>23</v>
      </c>
      <c r="N129" s="6" t="s">
        <v>23</v>
      </c>
      <c r="O129" s="6" t="s">
        <v>23</v>
      </c>
      <c r="P129" s="6" t="s">
        <v>23</v>
      </c>
      <c r="Q129" s="6" t="s">
        <v>23</v>
      </c>
      <c r="R129" s="6" t="s">
        <v>178</v>
      </c>
      <c r="S129" s="6" t="s">
        <v>250</v>
      </c>
      <c r="T129" s="6" t="s">
        <v>309</v>
      </c>
      <c r="U129" s="6" t="s">
        <v>23</v>
      </c>
      <c r="V129" s="6" t="s">
        <v>38</v>
      </c>
    </row>
    <row r="130" spans="1:22" s="6" customFormat="1" ht="13.2" x14ac:dyDescent="0.25">
      <c r="A130" s="16" t="b">
        <f>TRUE()</f>
        <v>1</v>
      </c>
      <c r="B130" s="7" t="s">
        <v>586</v>
      </c>
      <c r="C130" s="8" t="str">
        <f>IFERROR(VLOOKUP($B130,Pinouts!$A$4:$R$227,9,FALSE()),"")</f>
        <v>M12</v>
      </c>
      <c r="D130" s="8" t="s">
        <v>587</v>
      </c>
      <c r="E130" s="8" t="s">
        <v>3</v>
      </c>
      <c r="F130" s="6" t="str">
        <f>IFERROR(VLOOKUP($B130,Pinouts!$A$5:$R$227,3,FALSE()),"")</f>
        <v>-</v>
      </c>
      <c r="G130" s="6" t="s">
        <v>23</v>
      </c>
      <c r="H130" s="6" t="s">
        <v>165</v>
      </c>
      <c r="I130" s="6" t="s">
        <v>113</v>
      </c>
      <c r="J130" s="6" t="s">
        <v>347</v>
      </c>
      <c r="K130" s="6" t="s">
        <v>365</v>
      </c>
      <c r="L130" s="12" t="s">
        <v>489</v>
      </c>
      <c r="M130" s="6" t="s">
        <v>23</v>
      </c>
      <c r="N130" s="6" t="s">
        <v>23</v>
      </c>
      <c r="O130" s="6" t="s">
        <v>23</v>
      </c>
      <c r="P130" s="6" t="s">
        <v>23</v>
      </c>
      <c r="Q130" s="6" t="s">
        <v>23</v>
      </c>
      <c r="R130" s="6" t="s">
        <v>23</v>
      </c>
      <c r="S130" s="6" t="s">
        <v>23</v>
      </c>
      <c r="T130" s="6" t="s">
        <v>116</v>
      </c>
      <c r="U130" s="6" t="s">
        <v>23</v>
      </c>
      <c r="V130" s="6" t="s">
        <v>38</v>
      </c>
    </row>
    <row r="131" spans="1:22" s="6" customFormat="1" ht="13.2" x14ac:dyDescent="0.25">
      <c r="A131" s="16" t="b">
        <f>TRUE()</f>
        <v>1</v>
      </c>
      <c r="B131" s="7" t="s">
        <v>588</v>
      </c>
      <c r="C131" s="8" t="str">
        <f>IFERROR(VLOOKUP($B131,Pinouts!$A$4:$R$227,9,FALSE()),"")</f>
        <v>M13</v>
      </c>
      <c r="D131" s="8" t="s">
        <v>589</v>
      </c>
      <c r="E131" s="18" t="s">
        <v>3</v>
      </c>
      <c r="F131" s="6" t="str">
        <f>IFERROR(VLOOKUP($B131,Pinouts!$A$5:$R$227,3,FALSE()),"")</f>
        <v>-</v>
      </c>
      <c r="G131" s="6" t="s">
        <v>23</v>
      </c>
      <c r="H131" s="6" t="s">
        <v>158</v>
      </c>
      <c r="I131" s="6" t="s">
        <v>215</v>
      </c>
      <c r="J131" s="6" t="s">
        <v>167</v>
      </c>
      <c r="K131" s="6" t="s">
        <v>160</v>
      </c>
      <c r="L131" s="6" t="s">
        <v>517</v>
      </c>
      <c r="M131" s="6" t="s">
        <v>23</v>
      </c>
      <c r="N131" s="6" t="s">
        <v>23</v>
      </c>
      <c r="O131" s="6" t="s">
        <v>23</v>
      </c>
      <c r="P131" s="6" t="s">
        <v>23</v>
      </c>
      <c r="Q131" s="6" t="s">
        <v>23</v>
      </c>
      <c r="R131" s="6" t="s">
        <v>23</v>
      </c>
      <c r="S131" s="6" t="s">
        <v>23</v>
      </c>
      <c r="T131" s="6" t="s">
        <v>163</v>
      </c>
      <c r="U131" s="6" t="s">
        <v>23</v>
      </c>
      <c r="V131" s="6" t="s">
        <v>38</v>
      </c>
    </row>
    <row r="132" spans="1:22" s="6" customFormat="1" ht="13.2" x14ac:dyDescent="0.25">
      <c r="A132" s="16" t="b">
        <v>1</v>
      </c>
      <c r="B132" s="7" t="s">
        <v>590</v>
      </c>
      <c r="C132" s="8" t="str">
        <f>IFERROR(VLOOKUP($B132,Pinouts!$A$4:$R$227,9,FALSE()),"")</f>
        <v>B12</v>
      </c>
      <c r="D132" s="8" t="s">
        <v>591</v>
      </c>
      <c r="E132" s="18" t="s">
        <v>3</v>
      </c>
      <c r="F132" s="6" t="str">
        <f>IFERROR(VLOOKUP($B132,Pinouts!$A$5:$R$227,3,FALSE()),"")</f>
        <v>-</v>
      </c>
      <c r="G132" s="6" t="s">
        <v>23</v>
      </c>
      <c r="H132" s="6" t="s">
        <v>23</v>
      </c>
      <c r="I132" s="6" t="s">
        <v>105</v>
      </c>
      <c r="J132" s="6" t="s">
        <v>23</v>
      </c>
      <c r="K132" s="6" t="s">
        <v>23</v>
      </c>
      <c r="L132" s="6" t="s">
        <v>64</v>
      </c>
      <c r="M132" s="6" t="s">
        <v>23</v>
      </c>
      <c r="N132" s="6" t="s">
        <v>23</v>
      </c>
      <c r="O132" s="6" t="s">
        <v>23</v>
      </c>
      <c r="P132" s="6" t="s">
        <v>23</v>
      </c>
      <c r="Q132" s="6" t="s">
        <v>23</v>
      </c>
      <c r="R132" s="6" t="s">
        <v>23</v>
      </c>
      <c r="S132" s="6" t="s">
        <v>23</v>
      </c>
      <c r="T132" s="6" t="s">
        <v>391</v>
      </c>
      <c r="U132" s="6" t="s">
        <v>23</v>
      </c>
      <c r="V132" s="6" t="s">
        <v>38</v>
      </c>
    </row>
    <row r="133" spans="1:22" s="6" customFormat="1" ht="13.2" x14ac:dyDescent="0.25">
      <c r="A133" s="16" t="b">
        <v>1</v>
      </c>
      <c r="B133" s="7" t="s">
        <v>592</v>
      </c>
      <c r="C133" s="8" t="str">
        <f>IFERROR(VLOOKUP($B133,Pinouts!$A$4:$R$227,9,FALSE()),"")</f>
        <v>C11</v>
      </c>
      <c r="D133" s="8" t="s">
        <v>593</v>
      </c>
      <c r="E133" s="18" t="s">
        <v>3</v>
      </c>
      <c r="F133" s="6" t="str">
        <f>IFERROR(VLOOKUP($B133,Pinouts!$A$5:$R$227,3,FALSE()),"")</f>
        <v>-</v>
      </c>
      <c r="G133" s="6" t="s">
        <v>23</v>
      </c>
      <c r="H133" s="6" t="s">
        <v>23</v>
      </c>
      <c r="I133" s="6" t="s">
        <v>23</v>
      </c>
      <c r="J133" s="6" t="s">
        <v>148</v>
      </c>
      <c r="K133" s="6" t="s">
        <v>23</v>
      </c>
      <c r="L133" s="6" t="s">
        <v>71</v>
      </c>
      <c r="M133" s="6" t="s">
        <v>23</v>
      </c>
      <c r="N133" s="6" t="s">
        <v>23</v>
      </c>
      <c r="O133" s="6" t="s">
        <v>23</v>
      </c>
      <c r="P133" s="6" t="s">
        <v>23</v>
      </c>
      <c r="Q133" s="6" t="s">
        <v>23</v>
      </c>
      <c r="R133" s="6" t="s">
        <v>23</v>
      </c>
      <c r="S133" s="6" t="s">
        <v>23</v>
      </c>
      <c r="T133" s="6" t="s">
        <v>302</v>
      </c>
      <c r="U133" s="6" t="s">
        <v>23</v>
      </c>
      <c r="V133" s="6" t="s">
        <v>38</v>
      </c>
    </row>
    <row r="134" spans="1:22" s="6" customFormat="1" ht="13.2" x14ac:dyDescent="0.25">
      <c r="A134" s="16" t="b">
        <f>FALSE()</f>
        <v>0</v>
      </c>
      <c r="B134" s="7" t="s">
        <v>594</v>
      </c>
      <c r="C134" s="8" t="str">
        <f>IFERROR(VLOOKUP($B134,Pinouts!$A$4:$R$227,9,FALSE()),"")</f>
        <v>-</v>
      </c>
      <c r="D134" s="8"/>
      <c r="E134" s="8" t="s">
        <v>3</v>
      </c>
      <c r="F134" s="6" t="str">
        <f>IFERROR(VLOOKUP($B134,Pinouts!$A$5:$R$227,3,FALSE()),"")</f>
        <v>-</v>
      </c>
      <c r="G134" s="6" t="s">
        <v>23</v>
      </c>
      <c r="H134" s="6" t="s">
        <v>23</v>
      </c>
      <c r="I134" s="6" t="s">
        <v>23</v>
      </c>
      <c r="J134" s="6" t="s">
        <v>23</v>
      </c>
      <c r="K134" s="6" t="s">
        <v>23</v>
      </c>
      <c r="L134" s="6" t="s">
        <v>23</v>
      </c>
      <c r="M134" s="6" t="s">
        <v>23</v>
      </c>
      <c r="N134" s="6" t="s">
        <v>23</v>
      </c>
      <c r="O134" s="6" t="s">
        <v>23</v>
      </c>
      <c r="P134" s="6" t="s">
        <v>66</v>
      </c>
      <c r="Q134" s="6" t="s">
        <v>23</v>
      </c>
      <c r="R134" s="6" t="s">
        <v>186</v>
      </c>
      <c r="S134" s="6" t="s">
        <v>23</v>
      </c>
      <c r="T134" s="6" t="s">
        <v>123</v>
      </c>
      <c r="U134" s="6" t="s">
        <v>23</v>
      </c>
      <c r="V134" s="6" t="s">
        <v>38</v>
      </c>
    </row>
    <row r="135" spans="1:22" s="6" customFormat="1" ht="13.2" x14ac:dyDescent="0.25">
      <c r="A135" s="16" t="b">
        <f>FALSE()</f>
        <v>0</v>
      </c>
      <c r="B135" s="7" t="s">
        <v>595</v>
      </c>
      <c r="C135" s="8" t="str">
        <f>IFERROR(VLOOKUP($B135,Pinouts!$A$4:$R$227,9,FALSE()),"")</f>
        <v>-</v>
      </c>
      <c r="D135" s="8"/>
      <c r="E135" s="8" t="s">
        <v>3</v>
      </c>
      <c r="F135" s="6" t="str">
        <f>IFERROR(VLOOKUP($B135,Pinouts!$A$5:$R$227,3,FALSE()),"")</f>
        <v>TAMP_IN4,TAMP_OUT5</v>
      </c>
      <c r="G135" s="6" t="s">
        <v>23</v>
      </c>
      <c r="H135" s="6" t="s">
        <v>23</v>
      </c>
      <c r="I135" s="6" t="s">
        <v>23</v>
      </c>
      <c r="J135" s="6" t="s">
        <v>23</v>
      </c>
      <c r="K135" s="6" t="s">
        <v>23</v>
      </c>
      <c r="L135" s="6" t="s">
        <v>23</v>
      </c>
      <c r="M135" s="6" t="s">
        <v>23</v>
      </c>
      <c r="N135" s="6" t="s">
        <v>23</v>
      </c>
      <c r="O135" s="6" t="s">
        <v>23</v>
      </c>
      <c r="P135" s="6" t="s">
        <v>23</v>
      </c>
      <c r="Q135" s="6" t="s">
        <v>23</v>
      </c>
      <c r="R135" s="6" t="s">
        <v>23</v>
      </c>
      <c r="S135" s="6" t="s">
        <v>23</v>
      </c>
      <c r="T135" s="6" t="s">
        <v>332</v>
      </c>
      <c r="U135" s="6" t="s">
        <v>23</v>
      </c>
      <c r="V135" s="6" t="s">
        <v>38</v>
      </c>
    </row>
    <row r="136" spans="1:22" s="6" customFormat="1" ht="13.2" x14ac:dyDescent="0.25">
      <c r="A136" s="16" t="b">
        <f>FALSE()</f>
        <v>0</v>
      </c>
      <c r="B136" s="7" t="s">
        <v>596</v>
      </c>
      <c r="C136" s="8" t="str">
        <f>IFERROR(VLOOKUP($B136,Pinouts!$A$4:$R$227,9,FALSE()),"")</f>
        <v>D10</v>
      </c>
      <c r="D136" s="8"/>
      <c r="E136" s="13" t="s">
        <v>3</v>
      </c>
      <c r="F136" s="6" t="str">
        <f>IFERROR(VLOOKUP($B136,Pinouts!$A$5:$R$227,3,FALSE()),"")</f>
        <v>-</v>
      </c>
      <c r="G136" s="6" t="s">
        <v>23</v>
      </c>
      <c r="H136" s="6" t="s">
        <v>23</v>
      </c>
      <c r="I136" s="6" t="s">
        <v>23</v>
      </c>
      <c r="J136" s="6" t="s">
        <v>364</v>
      </c>
      <c r="K136" s="6" t="s">
        <v>23</v>
      </c>
      <c r="L136" s="6" t="s">
        <v>208</v>
      </c>
      <c r="M136" s="6" t="s">
        <v>23</v>
      </c>
      <c r="N136" s="6" t="s">
        <v>23</v>
      </c>
      <c r="O136" s="6" t="s">
        <v>23</v>
      </c>
      <c r="P136" s="6" t="s">
        <v>23</v>
      </c>
      <c r="Q136" s="6" t="s">
        <v>23</v>
      </c>
      <c r="R136" s="6" t="s">
        <v>23</v>
      </c>
      <c r="S136" s="6" t="s">
        <v>23</v>
      </c>
      <c r="T136" s="6" t="s">
        <v>309</v>
      </c>
      <c r="U136" s="6" t="s">
        <v>23</v>
      </c>
      <c r="V136" s="6" t="s">
        <v>38</v>
      </c>
    </row>
    <row r="137" spans="1:22" s="6" customFormat="1" ht="13.2" x14ac:dyDescent="0.25">
      <c r="A137" s="16" t="b">
        <v>1</v>
      </c>
      <c r="B137" s="7" t="s">
        <v>598</v>
      </c>
      <c r="C137" s="8" t="str">
        <f>IFERROR(VLOOKUP($B137,Pinouts!$A$4:$R$227,9,FALSE()),"")</f>
        <v>A12</v>
      </c>
      <c r="D137" s="8" t="s">
        <v>601</v>
      </c>
      <c r="E137" s="18" t="s">
        <v>3</v>
      </c>
      <c r="F137" s="6" t="str">
        <f>IFERROR(VLOOKUP($B137,Pinouts!$A$5:$R$227,3,FALSE()),"")</f>
        <v>-</v>
      </c>
      <c r="G137" s="6" t="s">
        <v>23</v>
      </c>
      <c r="H137" s="6" t="s">
        <v>23</v>
      </c>
      <c r="I137" s="6" t="s">
        <v>23</v>
      </c>
      <c r="J137" s="6" t="s">
        <v>28</v>
      </c>
      <c r="K137" s="6" t="s">
        <v>23</v>
      </c>
      <c r="L137" s="6" t="s">
        <v>216</v>
      </c>
      <c r="M137" s="6" t="s">
        <v>23</v>
      </c>
      <c r="N137" s="6" t="s">
        <v>23</v>
      </c>
      <c r="O137" s="6" t="s">
        <v>23</v>
      </c>
      <c r="P137" s="6" t="s">
        <v>23</v>
      </c>
      <c r="Q137" s="6" t="s">
        <v>23</v>
      </c>
      <c r="R137" s="6" t="s">
        <v>23</v>
      </c>
      <c r="S137" s="6" t="s">
        <v>23</v>
      </c>
      <c r="T137" s="6" t="s">
        <v>251</v>
      </c>
      <c r="U137" s="6" t="s">
        <v>23</v>
      </c>
      <c r="V137" s="6" t="s">
        <v>38</v>
      </c>
    </row>
    <row r="138" spans="1:22" s="6" customFormat="1" ht="13.2" x14ac:dyDescent="0.25">
      <c r="A138" s="16" t="b">
        <v>1</v>
      </c>
      <c r="B138" s="7" t="s">
        <v>600</v>
      </c>
      <c r="C138" s="8" t="str">
        <f>IFERROR(VLOOKUP($B138,Pinouts!$A$4:$R$227,9,FALSE()),"")</f>
        <v>C4</v>
      </c>
      <c r="D138" s="8" t="s">
        <v>599</v>
      </c>
      <c r="E138" s="18" t="s">
        <v>3</v>
      </c>
      <c r="F138" s="6" t="str">
        <f>IFERROR(VLOOKUP($B138,Pinouts!$A$5:$R$227,3,FALSE()),"")</f>
        <v>-</v>
      </c>
      <c r="G138" s="6" t="s">
        <v>23</v>
      </c>
      <c r="H138" s="6" t="s">
        <v>23</v>
      </c>
      <c r="I138" s="6" t="s">
        <v>23</v>
      </c>
      <c r="J138" s="6" t="s">
        <v>127</v>
      </c>
      <c r="K138" s="6" t="s">
        <v>23</v>
      </c>
      <c r="L138" s="6" t="s">
        <v>23</v>
      </c>
      <c r="M138" s="6" t="s">
        <v>23</v>
      </c>
      <c r="N138" s="6" t="s">
        <v>191</v>
      </c>
      <c r="O138" s="6" t="s">
        <v>23</v>
      </c>
      <c r="P138" s="6" t="s">
        <v>23</v>
      </c>
      <c r="Q138" s="6" t="s">
        <v>426</v>
      </c>
      <c r="R138" s="6" t="s">
        <v>23</v>
      </c>
      <c r="S138" s="6" t="s">
        <v>23</v>
      </c>
      <c r="T138" s="6" t="s">
        <v>259</v>
      </c>
      <c r="U138" s="6" t="s">
        <v>23</v>
      </c>
      <c r="V138" s="6" t="s">
        <v>38</v>
      </c>
    </row>
    <row r="139" spans="1:22" s="6" customFormat="1" ht="13.2" x14ac:dyDescent="0.25">
      <c r="A139" s="16" t="b">
        <v>1</v>
      </c>
      <c r="B139" s="7" t="s">
        <v>602</v>
      </c>
      <c r="C139" s="8" t="str">
        <f>IFERROR(VLOOKUP($B139,Pinouts!$A$4:$R$227,9,FALSE()),"")</f>
        <v>B3</v>
      </c>
      <c r="D139" s="8" t="s">
        <v>603</v>
      </c>
      <c r="E139" s="8" t="s">
        <v>3</v>
      </c>
      <c r="F139" s="6" t="str">
        <f>IFERROR(VLOOKUP($B139,Pinouts!$A$5:$R$227,3,FALSE()),"")</f>
        <v>-</v>
      </c>
      <c r="G139" s="6" t="s">
        <v>23</v>
      </c>
      <c r="H139" s="6" t="s">
        <v>23</v>
      </c>
      <c r="I139" s="6" t="s">
        <v>23</v>
      </c>
      <c r="J139" s="12" t="s">
        <v>337</v>
      </c>
      <c r="K139" s="6" t="s">
        <v>23</v>
      </c>
      <c r="L139" s="6" t="s">
        <v>23</v>
      </c>
      <c r="M139" s="6" t="s">
        <v>23</v>
      </c>
      <c r="N139" s="6" t="s">
        <v>23</v>
      </c>
      <c r="O139" s="6" t="s">
        <v>23</v>
      </c>
      <c r="P139" s="6" t="s">
        <v>23</v>
      </c>
      <c r="Q139" s="6" t="s">
        <v>388</v>
      </c>
      <c r="R139" s="6" t="s">
        <v>23</v>
      </c>
      <c r="S139" s="6" t="s">
        <v>23</v>
      </c>
      <c r="T139" s="6" t="s">
        <v>269</v>
      </c>
      <c r="U139" s="6" t="s">
        <v>23</v>
      </c>
      <c r="V139" s="6" t="s">
        <v>38</v>
      </c>
    </row>
    <row r="140" spans="1:22" s="6" customFormat="1" ht="13.2" x14ac:dyDescent="0.25">
      <c r="A140" s="16" t="b">
        <v>1</v>
      </c>
      <c r="B140" s="7" t="s">
        <v>604</v>
      </c>
      <c r="C140" s="8" t="str">
        <f>IFERROR(VLOOKUP($B140,Pinouts!$A$4:$R$227,9,FALSE()),"")</f>
        <v>A2</v>
      </c>
      <c r="D140" s="8" t="s">
        <v>605</v>
      </c>
      <c r="E140" s="18" t="s">
        <v>3</v>
      </c>
      <c r="F140" s="6" t="str">
        <f>IFERROR(VLOOKUP($B140,Pinouts!$A$5:$R$227,3,FALSE()),"")</f>
        <v>-</v>
      </c>
      <c r="G140" s="6" t="s">
        <v>23</v>
      </c>
      <c r="H140" s="6" t="s">
        <v>23</v>
      </c>
      <c r="I140" s="6" t="s">
        <v>23</v>
      </c>
      <c r="J140" s="6" t="s">
        <v>347</v>
      </c>
      <c r="K140" s="6" t="s">
        <v>23</v>
      </c>
      <c r="L140" s="6" t="s">
        <v>23</v>
      </c>
      <c r="M140" s="6" t="s">
        <v>23</v>
      </c>
      <c r="N140" s="6" t="s">
        <v>23</v>
      </c>
      <c r="O140" s="6" t="s">
        <v>23</v>
      </c>
      <c r="P140" s="6" t="s">
        <v>23</v>
      </c>
      <c r="Q140" s="6" t="s">
        <v>295</v>
      </c>
      <c r="R140" s="6" t="s">
        <v>23</v>
      </c>
      <c r="S140" s="6" t="s">
        <v>23</v>
      </c>
      <c r="T140" s="6" t="s">
        <v>278</v>
      </c>
      <c r="U140" s="6" t="s">
        <v>23</v>
      </c>
      <c r="V140" s="6" t="s">
        <v>38</v>
      </c>
    </row>
    <row r="141" spans="1:22" s="6" customFormat="1" ht="13.2" x14ac:dyDescent="0.25">
      <c r="A141" s="16" t="b">
        <f>FALSE()</f>
        <v>0</v>
      </c>
      <c r="B141" s="7" t="s">
        <v>606</v>
      </c>
      <c r="C141" s="8" t="str">
        <f>IFERROR(VLOOKUP($B141,Pinouts!$A$4:$R$227,9,FALSE()),"")</f>
        <v>A1</v>
      </c>
      <c r="D141" s="8"/>
      <c r="E141" s="8" t="s">
        <v>3</v>
      </c>
      <c r="F141" s="6" t="str">
        <f>IFERROR(VLOOKUP($B141,Pinouts!$A$5:$R$227,3,FALSE()),"")</f>
        <v>-</v>
      </c>
      <c r="G141" s="6" t="s">
        <v>23</v>
      </c>
      <c r="H141" s="6" t="s">
        <v>23</v>
      </c>
      <c r="I141" s="6" t="s">
        <v>23</v>
      </c>
      <c r="J141" s="10" t="s">
        <v>356</v>
      </c>
      <c r="K141" s="6" t="s">
        <v>23</v>
      </c>
      <c r="L141" s="6" t="s">
        <v>23</v>
      </c>
      <c r="M141" s="6" t="s">
        <v>23</v>
      </c>
      <c r="N141" s="6" t="s">
        <v>23</v>
      </c>
      <c r="O141" s="6" t="s">
        <v>23</v>
      </c>
      <c r="P141" s="6" t="s">
        <v>23</v>
      </c>
      <c r="Q141" s="6" t="s">
        <v>384</v>
      </c>
      <c r="R141" s="6" t="s">
        <v>23</v>
      </c>
      <c r="S141" s="6" t="s">
        <v>23</v>
      </c>
      <c r="T141" s="6" t="s">
        <v>244</v>
      </c>
      <c r="U141" s="6" t="s">
        <v>23</v>
      </c>
      <c r="V141" s="6" t="s">
        <v>38</v>
      </c>
    </row>
    <row r="142" spans="1:22" s="6" customFormat="1" ht="13.2" x14ac:dyDescent="0.25">
      <c r="A142" s="16" t="b">
        <f>FALSE()</f>
        <v>0</v>
      </c>
      <c r="B142" s="7" t="s">
        <v>607</v>
      </c>
      <c r="C142" s="8" t="str">
        <f>IFERROR(VLOOKUP($B142,Pinouts!$A$4:$R$227,9,FALSE()),"")</f>
        <v>E4</v>
      </c>
      <c r="D142" s="8"/>
      <c r="E142" s="8" t="s">
        <v>3</v>
      </c>
      <c r="F142" s="6" t="str">
        <f>IFERROR(VLOOKUP($B142,Pinouts!$A$5:$R$227,3,FALSE()),"")</f>
        <v>TAMP_IN2,TAMP_OUT3, WKUP3, RTC_OUT2</v>
      </c>
      <c r="G142" s="6" t="s">
        <v>23</v>
      </c>
      <c r="H142" s="6" t="s">
        <v>23</v>
      </c>
      <c r="I142" s="6" t="s">
        <v>23</v>
      </c>
      <c r="J142" s="6" t="s">
        <v>23</v>
      </c>
      <c r="K142" s="6" t="s">
        <v>23</v>
      </c>
      <c r="L142" s="6" t="s">
        <v>23</v>
      </c>
      <c r="M142" s="6" t="s">
        <v>23</v>
      </c>
      <c r="N142" s="6" t="s">
        <v>23</v>
      </c>
      <c r="O142" s="6" t="s">
        <v>23</v>
      </c>
      <c r="P142" s="6" t="s">
        <v>23</v>
      </c>
      <c r="Q142" s="6" t="s">
        <v>23</v>
      </c>
      <c r="R142" s="6" t="s">
        <v>23</v>
      </c>
      <c r="S142" s="6" t="s">
        <v>23</v>
      </c>
      <c r="T142" s="6" t="s">
        <v>23</v>
      </c>
      <c r="U142" s="6" t="s">
        <v>23</v>
      </c>
      <c r="V142" s="6" t="s">
        <v>38</v>
      </c>
    </row>
    <row r="143" spans="1:22" s="6" customFormat="1" ht="13.2" x14ac:dyDescent="0.25">
      <c r="A143" s="16" t="b">
        <f>FALSE()</f>
        <v>0</v>
      </c>
      <c r="B143" s="7" t="s">
        <v>608</v>
      </c>
      <c r="C143" s="8" t="str">
        <f>IFERROR(VLOOKUP($B143,Pinouts!$A$4:$R$227,9,FALSE()),"")</f>
        <v>-</v>
      </c>
      <c r="D143" s="8"/>
      <c r="E143" s="8" t="s">
        <v>3</v>
      </c>
      <c r="F143" s="6" t="str">
        <f>IFERROR(VLOOKUP($B143,Pinouts!$A$5:$R$227,3,FALSE()),"")</f>
        <v>-</v>
      </c>
      <c r="G143" s="6" t="s">
        <v>23</v>
      </c>
      <c r="H143" s="6" t="s">
        <v>23</v>
      </c>
      <c r="I143" s="6" t="s">
        <v>23</v>
      </c>
      <c r="J143" s="6" t="s">
        <v>23</v>
      </c>
      <c r="K143" s="6" t="s">
        <v>23</v>
      </c>
      <c r="L143" s="6" t="s">
        <v>23</v>
      </c>
      <c r="M143" s="6" t="s">
        <v>23</v>
      </c>
      <c r="N143" s="6" t="s">
        <v>23</v>
      </c>
      <c r="O143" s="6" t="s">
        <v>47</v>
      </c>
      <c r="P143" s="6" t="s">
        <v>66</v>
      </c>
      <c r="Q143" s="6" t="s">
        <v>23</v>
      </c>
      <c r="R143" s="6" t="s">
        <v>23</v>
      </c>
      <c r="S143" s="6" t="s">
        <v>23</v>
      </c>
      <c r="T143" s="6" t="s">
        <v>23</v>
      </c>
      <c r="U143" s="6" t="s">
        <v>23</v>
      </c>
      <c r="V143" s="6" t="s">
        <v>38</v>
      </c>
    </row>
  </sheetData>
  <autoFilter ref="A1:W143" xr:uid="{00000000-0009-0000-0000-000000000000}"/>
  <conditionalFormatting sqref="A2:W143">
    <cfRule type="expression" dxfId="0" priority="1">
      <formula>IF($A2,0,1)</formula>
    </cfRule>
  </conditionalFormatting>
  <pageMargins left="0" right="0" top="0.39374999999999999" bottom="0.39374999999999999" header="0" footer="0"/>
  <pageSetup orientation="portrait" horizontalDpi="300" verticalDpi="300"/>
  <headerFooter>
    <oddHeader>&amp;C&amp;A</oddHeader>
    <oddFooter>&amp;CPage &amp;P</oddFooter>
  </headerFooter>
  <ignoredErrors>
    <ignoredError sqref="A3:A4 A11 A17:A19 A31 A57 A76 A118 A124 A48:A50 A5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S227"/>
  <sheetViews>
    <sheetView zoomScaleNormal="100" workbookViewId="0">
      <selection activeCell="A140" sqref="A140"/>
    </sheetView>
  </sheetViews>
  <sheetFormatPr defaultColWidth="8.44140625" defaultRowHeight="12.6" customHeight="1" x14ac:dyDescent="0.25"/>
  <cols>
    <col min="1" max="2" width="30" style="6" customWidth="1"/>
    <col min="3" max="3" width="40.6640625" style="6" customWidth="1"/>
    <col min="4" max="8" width="11.6640625" style="6" customWidth="1"/>
    <col min="9" max="9" width="16.21875" style="15" customWidth="1"/>
    <col min="10" max="18" width="11.6640625" style="6" customWidth="1"/>
    <col min="19" max="19" width="30" style="6" customWidth="1"/>
  </cols>
  <sheetData>
    <row r="4" spans="1:19" x14ac:dyDescent="0.25">
      <c r="A4" s="6" t="s">
        <v>609</v>
      </c>
      <c r="B4" s="6" t="s">
        <v>610</v>
      </c>
      <c r="C4" s="6" t="s">
        <v>4</v>
      </c>
      <c r="D4" s="6" t="s">
        <v>611</v>
      </c>
      <c r="E4" s="6" t="s">
        <v>612</v>
      </c>
      <c r="F4" s="6" t="s">
        <v>613</v>
      </c>
      <c r="G4" s="6" t="s">
        <v>614</v>
      </c>
      <c r="H4" s="6" t="s">
        <v>615</v>
      </c>
      <c r="I4" s="15" t="s">
        <v>616</v>
      </c>
      <c r="J4" s="6" t="s">
        <v>617</v>
      </c>
      <c r="K4" s="6" t="s">
        <v>618</v>
      </c>
      <c r="L4" s="6" t="s">
        <v>619</v>
      </c>
      <c r="M4" s="6" t="s">
        <v>620</v>
      </c>
      <c r="N4" s="6" t="s">
        <v>621</v>
      </c>
      <c r="O4" s="6" t="s">
        <v>622</v>
      </c>
      <c r="P4" s="6" t="s">
        <v>623</v>
      </c>
      <c r="Q4" s="6" t="s">
        <v>624</v>
      </c>
      <c r="R4" s="6" t="s">
        <v>625</v>
      </c>
      <c r="S4" s="6" t="s">
        <v>626</v>
      </c>
    </row>
    <row r="5" spans="1:19" x14ac:dyDescent="0.25">
      <c r="A5" s="6" t="s">
        <v>627</v>
      </c>
      <c r="B5" s="6">
        <v>187</v>
      </c>
      <c r="D5" s="6" t="s">
        <v>628</v>
      </c>
      <c r="E5" s="6" t="s">
        <v>629</v>
      </c>
      <c r="F5" s="6" t="s">
        <v>630</v>
      </c>
      <c r="G5" s="6">
        <v>94</v>
      </c>
      <c r="H5" s="6">
        <v>137</v>
      </c>
      <c r="I5" s="15" t="s">
        <v>631</v>
      </c>
      <c r="J5" s="6">
        <v>166</v>
      </c>
      <c r="K5" s="6" t="s">
        <v>632</v>
      </c>
      <c r="L5" s="6">
        <v>60</v>
      </c>
      <c r="M5" s="6">
        <v>94</v>
      </c>
      <c r="N5" s="6">
        <v>138</v>
      </c>
      <c r="O5" s="6" t="s">
        <v>631</v>
      </c>
      <c r="P5" s="6">
        <v>166</v>
      </c>
      <c r="Q5" s="6" t="s">
        <v>633</v>
      </c>
      <c r="R5" s="6">
        <v>62</v>
      </c>
      <c r="S5" s="6" t="str">
        <f t="shared" ref="S5:S68" si="0">IF(O5=I5,"","RATS")</f>
        <v/>
      </c>
    </row>
    <row r="6" spans="1:19" x14ac:dyDescent="0.25">
      <c r="A6" s="6" t="s">
        <v>24</v>
      </c>
      <c r="B6" s="6">
        <v>35</v>
      </c>
      <c r="D6" s="6" t="s">
        <v>634</v>
      </c>
      <c r="E6" s="6" t="s">
        <v>635</v>
      </c>
      <c r="F6" s="6" t="s">
        <v>636</v>
      </c>
      <c r="G6" s="6">
        <v>14</v>
      </c>
      <c r="H6" s="6">
        <v>25</v>
      </c>
      <c r="I6" s="15" t="s">
        <v>637</v>
      </c>
      <c r="J6" s="6">
        <v>30</v>
      </c>
      <c r="K6" s="6" t="s">
        <v>638</v>
      </c>
      <c r="L6" s="6">
        <v>7</v>
      </c>
      <c r="M6" s="6">
        <v>14</v>
      </c>
      <c r="N6" s="6">
        <v>25</v>
      </c>
      <c r="O6" s="6" t="s">
        <v>639</v>
      </c>
      <c r="P6" s="6">
        <v>31</v>
      </c>
      <c r="Q6" s="6" t="s">
        <v>640</v>
      </c>
      <c r="R6" s="6">
        <v>7</v>
      </c>
      <c r="S6" s="6" t="str">
        <f t="shared" si="0"/>
        <v>RATS</v>
      </c>
    </row>
    <row r="7" spans="1:19" x14ac:dyDescent="0.25">
      <c r="A7" s="6" t="s">
        <v>26</v>
      </c>
      <c r="B7" s="6">
        <v>46</v>
      </c>
      <c r="C7" s="6" t="s">
        <v>641</v>
      </c>
      <c r="D7" s="6" t="s">
        <v>634</v>
      </c>
      <c r="E7" s="6" t="s">
        <v>642</v>
      </c>
      <c r="F7" s="6" t="s">
        <v>643</v>
      </c>
      <c r="G7" s="6">
        <v>22</v>
      </c>
      <c r="H7" s="6">
        <v>33</v>
      </c>
      <c r="I7" s="15" t="s">
        <v>638</v>
      </c>
      <c r="J7" s="6">
        <v>39</v>
      </c>
      <c r="K7" s="6" t="s">
        <v>644</v>
      </c>
      <c r="L7" s="6">
        <v>14</v>
      </c>
      <c r="M7" s="6">
        <v>23</v>
      </c>
      <c r="N7" s="6">
        <v>34</v>
      </c>
      <c r="O7" s="6" t="s">
        <v>645</v>
      </c>
      <c r="P7" s="6">
        <v>40</v>
      </c>
      <c r="Q7" s="6" t="s">
        <v>646</v>
      </c>
      <c r="R7" s="6">
        <v>14</v>
      </c>
      <c r="S7" s="6" t="str">
        <f t="shared" si="0"/>
        <v>RATS</v>
      </c>
    </row>
    <row r="8" spans="1:19" x14ac:dyDescent="0.25">
      <c r="A8" s="6" t="s">
        <v>39</v>
      </c>
      <c r="B8" s="6">
        <v>47</v>
      </c>
      <c r="C8" s="6" t="s">
        <v>647</v>
      </c>
      <c r="D8" s="6" t="s">
        <v>634</v>
      </c>
      <c r="E8" s="6" t="s">
        <v>648</v>
      </c>
      <c r="F8" s="6" t="s">
        <v>649</v>
      </c>
      <c r="G8" s="6">
        <v>23</v>
      </c>
      <c r="H8" s="6">
        <v>34</v>
      </c>
      <c r="I8" s="15" t="s">
        <v>650</v>
      </c>
      <c r="J8" s="6">
        <v>40</v>
      </c>
      <c r="K8" s="6" t="s">
        <v>651</v>
      </c>
      <c r="L8" s="6">
        <v>15</v>
      </c>
      <c r="M8" s="6">
        <v>24</v>
      </c>
      <c r="N8" s="6">
        <v>35</v>
      </c>
      <c r="O8" s="6" t="s">
        <v>652</v>
      </c>
      <c r="P8" s="6">
        <v>41</v>
      </c>
      <c r="Q8" s="6" t="s">
        <v>653</v>
      </c>
      <c r="R8" s="6">
        <v>15</v>
      </c>
      <c r="S8" s="6" t="str">
        <f t="shared" si="0"/>
        <v>RATS</v>
      </c>
    </row>
    <row r="9" spans="1:19" x14ac:dyDescent="0.25">
      <c r="A9" s="6" t="s">
        <v>93</v>
      </c>
      <c r="B9" s="6">
        <v>48</v>
      </c>
      <c r="C9" s="6" t="s">
        <v>654</v>
      </c>
      <c r="D9" s="6" t="s">
        <v>634</v>
      </c>
      <c r="E9" s="6" t="s">
        <v>655</v>
      </c>
      <c r="F9" s="6" t="s">
        <v>656</v>
      </c>
      <c r="G9" s="6">
        <v>24</v>
      </c>
      <c r="H9" s="6">
        <v>35</v>
      </c>
      <c r="I9" s="15" t="s">
        <v>651</v>
      </c>
      <c r="J9" s="6">
        <v>41</v>
      </c>
      <c r="K9" s="6" t="s">
        <v>657</v>
      </c>
      <c r="L9" s="6">
        <v>16</v>
      </c>
      <c r="M9" s="6">
        <v>25</v>
      </c>
      <c r="N9" s="6">
        <v>36</v>
      </c>
      <c r="O9" s="6" t="s">
        <v>651</v>
      </c>
      <c r="P9" s="6">
        <v>42</v>
      </c>
      <c r="Q9" s="6" t="s">
        <v>644</v>
      </c>
      <c r="R9" s="6">
        <v>16</v>
      </c>
      <c r="S9" s="6" t="str">
        <f t="shared" si="0"/>
        <v/>
      </c>
    </row>
    <row r="10" spans="1:19" x14ac:dyDescent="0.25">
      <c r="A10" s="6" t="s">
        <v>102</v>
      </c>
      <c r="B10" s="6">
        <v>55</v>
      </c>
      <c r="C10" s="6" t="s">
        <v>658</v>
      </c>
      <c r="D10" s="6" t="s">
        <v>634</v>
      </c>
      <c r="E10" s="6" t="s">
        <v>659</v>
      </c>
      <c r="F10" s="6" t="s">
        <v>660</v>
      </c>
      <c r="G10" s="6">
        <v>25</v>
      </c>
      <c r="H10" s="6">
        <v>36</v>
      </c>
      <c r="I10" s="15" t="s">
        <v>661</v>
      </c>
      <c r="J10" s="6">
        <v>44</v>
      </c>
      <c r="K10" s="6" t="s">
        <v>662</v>
      </c>
      <c r="L10" s="6">
        <v>17</v>
      </c>
      <c r="M10" s="6">
        <v>26</v>
      </c>
      <c r="N10" s="6">
        <v>37</v>
      </c>
      <c r="O10" s="6" t="s">
        <v>646</v>
      </c>
      <c r="P10" s="6">
        <v>47</v>
      </c>
      <c r="Q10" s="6" t="s">
        <v>663</v>
      </c>
      <c r="R10" s="6">
        <v>17</v>
      </c>
      <c r="S10" s="6" t="str">
        <f t="shared" si="0"/>
        <v>RATS</v>
      </c>
    </row>
    <row r="11" spans="1:19" x14ac:dyDescent="0.25">
      <c r="A11" s="6" t="s">
        <v>111</v>
      </c>
      <c r="B11" s="6">
        <v>58</v>
      </c>
      <c r="C11" s="6" t="s">
        <v>664</v>
      </c>
      <c r="D11" s="6" t="s">
        <v>634</v>
      </c>
      <c r="E11" s="6" t="s">
        <v>665</v>
      </c>
      <c r="F11" s="6" t="s">
        <v>666</v>
      </c>
      <c r="G11" s="6">
        <v>28</v>
      </c>
      <c r="H11" s="6">
        <v>39</v>
      </c>
      <c r="I11" s="15" t="s">
        <v>667</v>
      </c>
      <c r="J11" s="6">
        <v>47</v>
      </c>
      <c r="K11" s="6" t="s">
        <v>668</v>
      </c>
      <c r="L11" s="6">
        <v>20</v>
      </c>
      <c r="M11" s="6">
        <v>29</v>
      </c>
      <c r="N11" s="6">
        <v>40</v>
      </c>
      <c r="O11" s="6" t="s">
        <v>669</v>
      </c>
      <c r="P11" s="6">
        <v>50</v>
      </c>
      <c r="Q11" s="6" t="s">
        <v>670</v>
      </c>
      <c r="R11" s="6">
        <v>20</v>
      </c>
      <c r="S11" s="6" t="str">
        <f t="shared" si="0"/>
        <v>RATS</v>
      </c>
    </row>
    <row r="12" spans="1:19" x14ac:dyDescent="0.25">
      <c r="A12" s="6" t="s">
        <v>117</v>
      </c>
      <c r="B12" s="6">
        <v>59</v>
      </c>
      <c r="C12" s="6" t="s">
        <v>671</v>
      </c>
      <c r="D12" s="6" t="s">
        <v>634</v>
      </c>
      <c r="E12" s="6" t="s">
        <v>672</v>
      </c>
      <c r="F12" s="6" t="s">
        <v>673</v>
      </c>
      <c r="G12" s="6">
        <v>29</v>
      </c>
      <c r="H12" s="6">
        <v>40</v>
      </c>
      <c r="I12" s="15" t="s">
        <v>652</v>
      </c>
      <c r="J12" s="6">
        <v>48</v>
      </c>
      <c r="K12" s="6" t="s">
        <v>674</v>
      </c>
      <c r="L12" s="6">
        <v>21</v>
      </c>
      <c r="M12" s="6">
        <v>30</v>
      </c>
      <c r="N12" s="6">
        <v>41</v>
      </c>
      <c r="O12" s="6" t="s">
        <v>661</v>
      </c>
      <c r="P12" s="6">
        <v>51</v>
      </c>
      <c r="Q12" s="6" t="s">
        <v>675</v>
      </c>
      <c r="R12" s="6">
        <v>21</v>
      </c>
      <c r="S12" s="6" t="str">
        <f t="shared" si="0"/>
        <v>RATS</v>
      </c>
    </row>
    <row r="13" spans="1:19" x14ac:dyDescent="0.25">
      <c r="A13" s="6" t="s">
        <v>124</v>
      </c>
      <c r="B13" s="6">
        <v>60</v>
      </c>
      <c r="C13" s="6" t="s">
        <v>676</v>
      </c>
      <c r="D13" s="6" t="s">
        <v>634</v>
      </c>
      <c r="E13" s="6" t="s">
        <v>659</v>
      </c>
      <c r="F13" s="6" t="s">
        <v>677</v>
      </c>
      <c r="G13" s="6">
        <v>30</v>
      </c>
      <c r="H13" s="6">
        <v>41</v>
      </c>
      <c r="I13" s="15" t="s">
        <v>670</v>
      </c>
      <c r="J13" s="6">
        <v>49</v>
      </c>
      <c r="K13" s="6" t="s">
        <v>678</v>
      </c>
      <c r="L13" s="6">
        <v>22</v>
      </c>
      <c r="M13" s="6">
        <v>31</v>
      </c>
      <c r="N13" s="6">
        <v>42</v>
      </c>
      <c r="O13" s="6" t="s">
        <v>668</v>
      </c>
      <c r="P13" s="6">
        <v>52</v>
      </c>
      <c r="Q13" s="6" t="s">
        <v>679</v>
      </c>
      <c r="R13" s="6">
        <v>22</v>
      </c>
      <c r="S13" s="6" t="str">
        <f t="shared" si="0"/>
        <v>RATS</v>
      </c>
    </row>
    <row r="14" spans="1:19" x14ac:dyDescent="0.25">
      <c r="A14" s="6" t="s">
        <v>133</v>
      </c>
      <c r="B14" s="6">
        <v>61</v>
      </c>
      <c r="C14" s="6" t="s">
        <v>680</v>
      </c>
      <c r="D14" s="6" t="s">
        <v>634</v>
      </c>
      <c r="E14" s="6" t="s">
        <v>659</v>
      </c>
      <c r="F14" s="6" t="s">
        <v>681</v>
      </c>
      <c r="G14" s="6">
        <v>31</v>
      </c>
      <c r="H14" s="6">
        <v>42</v>
      </c>
      <c r="I14" s="15" t="s">
        <v>682</v>
      </c>
      <c r="J14" s="6">
        <v>50</v>
      </c>
      <c r="K14" s="6" t="s">
        <v>683</v>
      </c>
      <c r="L14" s="6">
        <v>23</v>
      </c>
      <c r="M14" s="6">
        <v>32</v>
      </c>
      <c r="N14" s="6">
        <v>43</v>
      </c>
      <c r="O14" s="6" t="s">
        <v>682</v>
      </c>
      <c r="P14" s="6">
        <v>53</v>
      </c>
      <c r="Q14" s="6" t="s">
        <v>674</v>
      </c>
      <c r="R14" s="6">
        <v>23</v>
      </c>
      <c r="S14" s="6" t="str">
        <f t="shared" si="0"/>
        <v/>
      </c>
    </row>
    <row r="15" spans="1:19" x14ac:dyDescent="0.25">
      <c r="A15" s="6" t="s">
        <v>145</v>
      </c>
      <c r="B15" s="6">
        <v>137</v>
      </c>
      <c r="C15" s="6" t="s">
        <v>23</v>
      </c>
      <c r="D15" s="6" t="s">
        <v>634</v>
      </c>
      <c r="E15" s="6" t="s">
        <v>684</v>
      </c>
      <c r="F15" s="6" t="s">
        <v>685</v>
      </c>
      <c r="G15" s="6">
        <v>67</v>
      </c>
      <c r="H15" s="6">
        <v>100</v>
      </c>
      <c r="I15" s="15" t="s">
        <v>686</v>
      </c>
      <c r="J15" s="6">
        <v>119</v>
      </c>
      <c r="K15" s="6" t="s">
        <v>687</v>
      </c>
      <c r="L15" s="6">
        <v>41</v>
      </c>
      <c r="M15" s="6">
        <v>67</v>
      </c>
      <c r="N15" s="6">
        <v>100</v>
      </c>
      <c r="O15" s="6" t="s">
        <v>688</v>
      </c>
      <c r="P15" s="6">
        <v>119</v>
      </c>
      <c r="Q15" s="6" t="s">
        <v>687</v>
      </c>
      <c r="R15" s="6">
        <v>44</v>
      </c>
      <c r="S15" s="6" t="str">
        <f t="shared" si="0"/>
        <v>RATS</v>
      </c>
    </row>
    <row r="16" spans="1:19" x14ac:dyDescent="0.25">
      <c r="A16" s="6" t="s">
        <v>156</v>
      </c>
      <c r="B16" s="6">
        <v>138</v>
      </c>
      <c r="C16" s="6" t="s">
        <v>689</v>
      </c>
      <c r="D16" s="6" t="s">
        <v>634</v>
      </c>
      <c r="E16" s="6" t="s">
        <v>690</v>
      </c>
      <c r="F16" s="6" t="s">
        <v>639</v>
      </c>
      <c r="G16" s="6">
        <v>68</v>
      </c>
      <c r="H16" s="6">
        <v>101</v>
      </c>
      <c r="I16" s="15" t="s">
        <v>691</v>
      </c>
      <c r="J16" s="6">
        <v>120</v>
      </c>
      <c r="K16" s="6" t="s">
        <v>692</v>
      </c>
      <c r="L16" s="6">
        <v>42</v>
      </c>
      <c r="M16" s="6">
        <v>68</v>
      </c>
      <c r="N16" s="6">
        <v>101</v>
      </c>
      <c r="O16" s="6" t="s">
        <v>693</v>
      </c>
      <c r="P16" s="6">
        <v>120</v>
      </c>
      <c r="Q16" s="6" t="s">
        <v>692</v>
      </c>
      <c r="R16" s="6">
        <v>45</v>
      </c>
      <c r="S16" s="6" t="str">
        <f t="shared" si="0"/>
        <v>RATS</v>
      </c>
    </row>
    <row r="17" spans="1:19" x14ac:dyDescent="0.25">
      <c r="A17" s="6" t="s">
        <v>51</v>
      </c>
      <c r="B17" s="6">
        <v>139</v>
      </c>
      <c r="C17" s="6" t="s">
        <v>23</v>
      </c>
      <c r="D17" s="6" t="s">
        <v>634</v>
      </c>
      <c r="E17" s="6" t="s">
        <v>694</v>
      </c>
      <c r="F17" s="6" t="s">
        <v>695</v>
      </c>
      <c r="G17" s="6">
        <v>69</v>
      </c>
      <c r="H17" s="6">
        <v>102</v>
      </c>
      <c r="I17" s="15" t="s">
        <v>693</v>
      </c>
      <c r="J17" s="6">
        <v>121</v>
      </c>
      <c r="K17" s="6" t="s">
        <v>696</v>
      </c>
      <c r="L17" s="6">
        <v>43</v>
      </c>
      <c r="M17" s="6">
        <v>69</v>
      </c>
      <c r="N17" s="6">
        <v>102</v>
      </c>
      <c r="O17" s="6" t="s">
        <v>686</v>
      </c>
      <c r="P17" s="6">
        <v>121</v>
      </c>
      <c r="Q17" s="6" t="s">
        <v>697</v>
      </c>
      <c r="R17" s="6">
        <v>46</v>
      </c>
      <c r="S17" s="6" t="str">
        <f t="shared" si="0"/>
        <v>RATS</v>
      </c>
    </row>
    <row r="18" spans="1:19" x14ac:dyDescent="0.25">
      <c r="A18" s="6" t="s">
        <v>61</v>
      </c>
      <c r="B18" s="6">
        <v>140</v>
      </c>
      <c r="C18" s="6" t="s">
        <v>23</v>
      </c>
      <c r="D18" s="6" t="s">
        <v>634</v>
      </c>
      <c r="E18" s="6" t="s">
        <v>698</v>
      </c>
      <c r="F18" s="6" t="s">
        <v>699</v>
      </c>
      <c r="G18" s="6">
        <v>70</v>
      </c>
      <c r="H18" s="6">
        <v>103</v>
      </c>
      <c r="I18" s="15" t="s">
        <v>700</v>
      </c>
      <c r="J18" s="6">
        <v>122</v>
      </c>
      <c r="K18" s="6" t="s">
        <v>697</v>
      </c>
      <c r="L18" s="6">
        <v>44</v>
      </c>
      <c r="M18" s="6">
        <v>70</v>
      </c>
      <c r="N18" s="6">
        <v>103</v>
      </c>
      <c r="O18" s="6" t="s">
        <v>691</v>
      </c>
      <c r="P18" s="6">
        <v>122</v>
      </c>
      <c r="Q18" s="6" t="s">
        <v>701</v>
      </c>
      <c r="R18" s="6">
        <v>47</v>
      </c>
      <c r="S18" s="6" t="str">
        <f t="shared" si="0"/>
        <v>RATS</v>
      </c>
    </row>
    <row r="19" spans="1:19" x14ac:dyDescent="0.25">
      <c r="A19" s="6" t="s">
        <v>68</v>
      </c>
      <c r="B19" s="6">
        <v>141</v>
      </c>
      <c r="C19" s="6" t="s">
        <v>23</v>
      </c>
      <c r="D19" s="6" t="s">
        <v>634</v>
      </c>
      <c r="E19" s="6" t="s">
        <v>698</v>
      </c>
      <c r="F19" s="6" t="s">
        <v>702</v>
      </c>
      <c r="G19" s="6">
        <v>71</v>
      </c>
      <c r="H19" s="6">
        <v>104</v>
      </c>
      <c r="I19" s="15" t="s">
        <v>703</v>
      </c>
      <c r="J19" s="6">
        <v>123</v>
      </c>
      <c r="K19" s="6" t="s">
        <v>701</v>
      </c>
      <c r="L19" s="6">
        <v>45</v>
      </c>
      <c r="M19" s="6">
        <v>71</v>
      </c>
      <c r="N19" s="6">
        <v>104</v>
      </c>
      <c r="O19" s="6" t="s">
        <v>704</v>
      </c>
      <c r="P19" s="6">
        <v>123</v>
      </c>
      <c r="Q19" s="6" t="s">
        <v>705</v>
      </c>
      <c r="R19" s="6">
        <v>48</v>
      </c>
      <c r="S19" s="6" t="str">
        <f t="shared" si="0"/>
        <v>RATS</v>
      </c>
    </row>
    <row r="20" spans="1:19" x14ac:dyDescent="0.25">
      <c r="A20" s="6" t="s">
        <v>76</v>
      </c>
      <c r="B20" s="6">
        <v>142</v>
      </c>
      <c r="C20" s="6" t="s">
        <v>23</v>
      </c>
      <c r="D20" s="6" t="s">
        <v>634</v>
      </c>
      <c r="E20" s="6" t="s">
        <v>706</v>
      </c>
      <c r="F20" s="6" t="s">
        <v>707</v>
      </c>
      <c r="G20" s="6">
        <v>72</v>
      </c>
      <c r="H20" s="6">
        <v>105</v>
      </c>
      <c r="I20" s="15" t="s">
        <v>708</v>
      </c>
      <c r="J20" s="6">
        <v>124</v>
      </c>
      <c r="K20" s="6" t="s">
        <v>704</v>
      </c>
      <c r="L20" s="6">
        <v>46</v>
      </c>
      <c r="M20" s="6">
        <v>72</v>
      </c>
      <c r="N20" s="6">
        <v>105</v>
      </c>
      <c r="O20" s="6" t="s">
        <v>709</v>
      </c>
      <c r="P20" s="6">
        <v>124</v>
      </c>
      <c r="Q20" s="6" t="s">
        <v>710</v>
      </c>
      <c r="R20" s="6">
        <v>49</v>
      </c>
      <c r="S20" s="6" t="str">
        <f t="shared" si="0"/>
        <v>RATS</v>
      </c>
    </row>
    <row r="21" spans="1:19" x14ac:dyDescent="0.25">
      <c r="A21" s="6" t="s">
        <v>79</v>
      </c>
      <c r="B21" s="6">
        <v>155</v>
      </c>
      <c r="C21" s="6" t="s">
        <v>23</v>
      </c>
      <c r="D21" s="6" t="s">
        <v>634</v>
      </c>
      <c r="E21" s="6" t="s">
        <v>706</v>
      </c>
      <c r="F21" s="6" t="s">
        <v>711</v>
      </c>
      <c r="G21" s="6">
        <v>76</v>
      </c>
      <c r="H21" s="6">
        <v>109</v>
      </c>
      <c r="I21" s="15" t="s">
        <v>712</v>
      </c>
      <c r="J21" s="6">
        <v>137</v>
      </c>
      <c r="K21" s="6" t="s">
        <v>703</v>
      </c>
      <c r="L21" s="6">
        <v>49</v>
      </c>
      <c r="M21" s="6">
        <v>76</v>
      </c>
      <c r="N21" s="6">
        <v>109</v>
      </c>
      <c r="O21" s="6" t="s">
        <v>713</v>
      </c>
      <c r="P21" s="6">
        <v>137</v>
      </c>
      <c r="Q21" s="6" t="s">
        <v>714</v>
      </c>
      <c r="R21" s="6">
        <v>52</v>
      </c>
      <c r="S21" s="6" t="str">
        <f t="shared" si="0"/>
        <v>RATS</v>
      </c>
    </row>
    <row r="22" spans="1:19" x14ac:dyDescent="0.25">
      <c r="A22" s="6" t="s">
        <v>82</v>
      </c>
      <c r="B22" s="6">
        <v>156</v>
      </c>
      <c r="C22" s="6" t="s">
        <v>23</v>
      </c>
      <c r="D22" s="6" t="s">
        <v>634</v>
      </c>
      <c r="E22" s="6" t="s">
        <v>706</v>
      </c>
      <c r="F22" s="6" t="s">
        <v>715</v>
      </c>
      <c r="G22" s="6">
        <v>77</v>
      </c>
      <c r="H22" s="6">
        <v>110</v>
      </c>
      <c r="I22" s="15" t="s">
        <v>716</v>
      </c>
      <c r="J22" s="6">
        <v>138</v>
      </c>
      <c r="K22" s="6" t="s">
        <v>700</v>
      </c>
      <c r="L22" s="6">
        <v>50</v>
      </c>
      <c r="M22" s="6">
        <v>77</v>
      </c>
      <c r="N22" s="6">
        <v>110</v>
      </c>
      <c r="O22" s="6" t="s">
        <v>717</v>
      </c>
      <c r="P22" s="6">
        <v>138</v>
      </c>
      <c r="Q22" s="6" t="s">
        <v>718</v>
      </c>
      <c r="R22" s="6">
        <v>53</v>
      </c>
      <c r="S22" s="6" t="str">
        <f t="shared" si="0"/>
        <v>RATS</v>
      </c>
    </row>
    <row r="23" spans="1:19" x14ac:dyDescent="0.25">
      <c r="A23" s="6" t="s">
        <v>164</v>
      </c>
      <c r="B23" s="6">
        <v>65</v>
      </c>
      <c r="C23" s="6" t="s">
        <v>719</v>
      </c>
      <c r="D23" s="6" t="s">
        <v>634</v>
      </c>
      <c r="E23" s="6" t="s">
        <v>659</v>
      </c>
      <c r="F23" s="6" t="s">
        <v>720</v>
      </c>
      <c r="G23" s="6">
        <v>32</v>
      </c>
      <c r="H23" s="6">
        <v>43</v>
      </c>
      <c r="I23" s="15" t="s">
        <v>662</v>
      </c>
      <c r="J23" s="6">
        <v>53</v>
      </c>
      <c r="K23" s="6" t="s">
        <v>721</v>
      </c>
      <c r="L23" s="6">
        <v>26</v>
      </c>
      <c r="M23" s="6">
        <v>35</v>
      </c>
      <c r="N23" s="6">
        <v>46</v>
      </c>
      <c r="O23" s="6" t="s">
        <v>722</v>
      </c>
      <c r="P23" s="6">
        <v>56</v>
      </c>
      <c r="Q23" s="6" t="s">
        <v>721</v>
      </c>
      <c r="R23" s="6">
        <v>26</v>
      </c>
      <c r="S23" s="6" t="str">
        <f t="shared" si="0"/>
        <v>RATS</v>
      </c>
    </row>
    <row r="24" spans="1:19" x14ac:dyDescent="0.25">
      <c r="A24" s="6" t="s">
        <v>173</v>
      </c>
      <c r="B24" s="6">
        <v>66</v>
      </c>
      <c r="C24" s="6" t="s">
        <v>723</v>
      </c>
      <c r="D24" s="6" t="s">
        <v>634</v>
      </c>
      <c r="E24" s="6" t="s">
        <v>659</v>
      </c>
      <c r="F24" s="6" t="s">
        <v>724</v>
      </c>
      <c r="G24" s="6">
        <v>33</v>
      </c>
      <c r="H24" s="6">
        <v>44</v>
      </c>
      <c r="I24" s="15" t="s">
        <v>677</v>
      </c>
      <c r="J24" s="6">
        <v>54</v>
      </c>
      <c r="K24" s="6" t="s">
        <v>725</v>
      </c>
      <c r="L24" s="6">
        <v>27</v>
      </c>
      <c r="M24" s="6">
        <v>36</v>
      </c>
      <c r="N24" s="6">
        <v>47</v>
      </c>
      <c r="O24" s="6" t="s">
        <v>681</v>
      </c>
      <c r="P24" s="6">
        <v>57</v>
      </c>
      <c r="Q24" s="6" t="s">
        <v>683</v>
      </c>
      <c r="R24" s="6">
        <v>27</v>
      </c>
      <c r="S24" s="6" t="str">
        <f t="shared" si="0"/>
        <v>RATS</v>
      </c>
    </row>
    <row r="25" spans="1:19" x14ac:dyDescent="0.25">
      <c r="A25" s="6" t="s">
        <v>221</v>
      </c>
      <c r="B25" s="6">
        <v>67</v>
      </c>
      <c r="C25" s="6" t="s">
        <v>726</v>
      </c>
      <c r="D25" s="6" t="s">
        <v>634</v>
      </c>
      <c r="E25" s="6" t="s">
        <v>659</v>
      </c>
      <c r="F25" s="6" t="s">
        <v>722</v>
      </c>
      <c r="G25" s="6">
        <v>34</v>
      </c>
      <c r="H25" s="6">
        <v>45</v>
      </c>
      <c r="I25" s="15" t="s">
        <v>725</v>
      </c>
      <c r="J25" s="6">
        <v>55</v>
      </c>
      <c r="K25" s="6" t="s">
        <v>724</v>
      </c>
      <c r="L25" s="6">
        <v>28</v>
      </c>
      <c r="M25" s="6">
        <v>37</v>
      </c>
      <c r="N25" s="6">
        <v>48</v>
      </c>
      <c r="O25" s="6" t="s">
        <v>727</v>
      </c>
      <c r="P25" s="6">
        <v>58</v>
      </c>
      <c r="Q25" s="6" t="s">
        <v>728</v>
      </c>
      <c r="R25" s="6">
        <v>28</v>
      </c>
      <c r="S25" s="6" t="str">
        <f t="shared" si="0"/>
        <v>RATS</v>
      </c>
    </row>
    <row r="26" spans="1:19" x14ac:dyDescent="0.25">
      <c r="A26" s="6" t="s">
        <v>231</v>
      </c>
      <c r="B26" s="6">
        <v>182</v>
      </c>
      <c r="C26" s="6" t="s">
        <v>23</v>
      </c>
      <c r="D26" s="6" t="s">
        <v>634</v>
      </c>
      <c r="E26" s="6" t="s">
        <v>684</v>
      </c>
      <c r="F26" s="6" t="s">
        <v>729</v>
      </c>
      <c r="G26" s="6">
        <v>89</v>
      </c>
      <c r="H26" s="6">
        <v>132</v>
      </c>
      <c r="I26" s="15" t="s">
        <v>730</v>
      </c>
      <c r="J26" s="6">
        <v>161</v>
      </c>
      <c r="K26" s="6" t="s">
        <v>731</v>
      </c>
      <c r="L26" s="6">
        <v>55</v>
      </c>
      <c r="M26" s="6">
        <v>89</v>
      </c>
      <c r="N26" s="6">
        <v>133</v>
      </c>
      <c r="O26" s="6" t="s">
        <v>732</v>
      </c>
      <c r="P26" s="6">
        <v>161</v>
      </c>
      <c r="Q26" s="6" t="s">
        <v>733</v>
      </c>
      <c r="R26" s="6">
        <v>57</v>
      </c>
      <c r="S26" s="6" t="str">
        <f t="shared" si="0"/>
        <v>RATS</v>
      </c>
    </row>
    <row r="27" spans="1:19" x14ac:dyDescent="0.25">
      <c r="A27" s="6" t="s">
        <v>238</v>
      </c>
      <c r="B27" s="6">
        <v>183</v>
      </c>
      <c r="C27" s="6" t="s">
        <v>23</v>
      </c>
      <c r="D27" s="6" t="s">
        <v>634</v>
      </c>
      <c r="E27" s="6" t="s">
        <v>694</v>
      </c>
      <c r="F27" s="6" t="s">
        <v>734</v>
      </c>
      <c r="G27" s="6">
        <v>90</v>
      </c>
      <c r="H27" s="6">
        <v>133</v>
      </c>
      <c r="I27" s="15" t="s">
        <v>632</v>
      </c>
      <c r="J27" s="6">
        <v>162</v>
      </c>
      <c r="K27" s="6" t="s">
        <v>735</v>
      </c>
      <c r="L27" s="6">
        <v>56</v>
      </c>
      <c r="M27" s="6">
        <v>90</v>
      </c>
      <c r="N27" s="6">
        <v>134</v>
      </c>
      <c r="O27" s="6" t="s">
        <v>736</v>
      </c>
      <c r="P27" s="6">
        <v>162</v>
      </c>
      <c r="Q27" s="6" t="s">
        <v>737</v>
      </c>
      <c r="R27" s="6">
        <v>58</v>
      </c>
      <c r="S27" s="6" t="str">
        <f t="shared" si="0"/>
        <v>RATS</v>
      </c>
    </row>
    <row r="28" spans="1:19" x14ac:dyDescent="0.25">
      <c r="A28" s="6" t="s">
        <v>245</v>
      </c>
      <c r="B28" s="6">
        <v>184</v>
      </c>
      <c r="C28" s="6" t="s">
        <v>23</v>
      </c>
      <c r="D28" s="6" t="s">
        <v>634</v>
      </c>
      <c r="E28" s="6" t="s">
        <v>694</v>
      </c>
      <c r="F28" s="6" t="s">
        <v>633</v>
      </c>
      <c r="G28" s="6">
        <v>91</v>
      </c>
      <c r="H28" s="6">
        <v>134</v>
      </c>
      <c r="I28" s="15" t="s">
        <v>732</v>
      </c>
      <c r="J28" s="6">
        <v>163</v>
      </c>
      <c r="K28" s="6" t="s">
        <v>736</v>
      </c>
      <c r="L28" s="6">
        <v>57</v>
      </c>
      <c r="M28" s="6">
        <v>91</v>
      </c>
      <c r="N28" s="6">
        <v>135</v>
      </c>
      <c r="O28" s="6" t="s">
        <v>738</v>
      </c>
      <c r="P28" s="6">
        <v>163</v>
      </c>
      <c r="Q28" s="6" t="s">
        <v>736</v>
      </c>
      <c r="R28" s="6">
        <v>59</v>
      </c>
      <c r="S28" s="6" t="str">
        <f t="shared" si="0"/>
        <v>RATS</v>
      </c>
    </row>
    <row r="29" spans="1:19" x14ac:dyDescent="0.25">
      <c r="A29" s="6" t="s">
        <v>252</v>
      </c>
      <c r="B29" s="6">
        <v>185</v>
      </c>
      <c r="C29" s="6" t="s">
        <v>23</v>
      </c>
      <c r="D29" s="6" t="s">
        <v>634</v>
      </c>
      <c r="E29" s="6" t="s">
        <v>739</v>
      </c>
      <c r="F29" s="6" t="s">
        <v>740</v>
      </c>
      <c r="G29" s="6">
        <v>92</v>
      </c>
      <c r="H29" s="6">
        <v>135</v>
      </c>
      <c r="I29" s="15" t="s">
        <v>738</v>
      </c>
      <c r="J29" s="6">
        <v>164</v>
      </c>
      <c r="K29" s="6" t="s">
        <v>734</v>
      </c>
      <c r="L29" s="6">
        <v>58</v>
      </c>
      <c r="M29" s="6">
        <v>92</v>
      </c>
      <c r="N29" s="6">
        <v>136</v>
      </c>
      <c r="O29" s="6" t="s">
        <v>632</v>
      </c>
      <c r="P29" s="6">
        <v>164</v>
      </c>
      <c r="Q29" s="6" t="s">
        <v>734</v>
      </c>
      <c r="R29" s="6">
        <v>60</v>
      </c>
      <c r="S29" s="6" t="str">
        <f t="shared" si="0"/>
        <v>RATS</v>
      </c>
    </row>
    <row r="30" spans="1:19" x14ac:dyDescent="0.25">
      <c r="A30" s="6" t="s">
        <v>260</v>
      </c>
      <c r="B30" s="6">
        <v>186</v>
      </c>
      <c r="C30" s="6" t="s">
        <v>741</v>
      </c>
      <c r="D30" s="6" t="s">
        <v>634</v>
      </c>
      <c r="E30" s="6" t="s">
        <v>742</v>
      </c>
      <c r="F30" s="6" t="s">
        <v>735</v>
      </c>
      <c r="G30" s="6">
        <v>93</v>
      </c>
      <c r="H30" s="6">
        <v>136</v>
      </c>
      <c r="I30" s="15" t="s">
        <v>633</v>
      </c>
      <c r="J30" s="6">
        <v>165</v>
      </c>
      <c r="K30" s="6" t="s">
        <v>738</v>
      </c>
      <c r="L30" s="6">
        <v>59</v>
      </c>
      <c r="M30" s="6">
        <v>93</v>
      </c>
      <c r="N30" s="6">
        <v>137</v>
      </c>
      <c r="O30" s="6" t="s">
        <v>633</v>
      </c>
      <c r="P30" s="6">
        <v>165</v>
      </c>
      <c r="Q30" s="6" t="s">
        <v>631</v>
      </c>
      <c r="R30" s="6">
        <v>61</v>
      </c>
      <c r="S30" s="6" t="str">
        <f t="shared" si="0"/>
        <v/>
      </c>
    </row>
    <row r="31" spans="1:19" x14ac:dyDescent="0.25">
      <c r="A31" s="6" t="s">
        <v>270</v>
      </c>
      <c r="B31" s="6">
        <v>188</v>
      </c>
      <c r="C31" s="6" t="s">
        <v>23</v>
      </c>
      <c r="D31" s="6" t="s">
        <v>634</v>
      </c>
      <c r="E31" s="6" t="s">
        <v>684</v>
      </c>
      <c r="F31" s="6" t="s">
        <v>743</v>
      </c>
      <c r="G31" s="6">
        <v>95</v>
      </c>
      <c r="H31" s="6">
        <v>138</v>
      </c>
      <c r="I31" s="15" t="s">
        <v>744</v>
      </c>
      <c r="J31" s="6">
        <v>167</v>
      </c>
      <c r="K31" s="6" t="s">
        <v>631</v>
      </c>
      <c r="L31" s="6">
        <v>61</v>
      </c>
      <c r="M31" s="6">
        <v>95</v>
      </c>
      <c r="N31" s="6">
        <v>139</v>
      </c>
      <c r="O31" s="6" t="s">
        <v>745</v>
      </c>
      <c r="P31" s="6">
        <v>167</v>
      </c>
      <c r="Q31" s="6" t="s">
        <v>632</v>
      </c>
      <c r="R31" s="6">
        <v>63</v>
      </c>
      <c r="S31" s="6" t="str">
        <f t="shared" si="0"/>
        <v>RATS</v>
      </c>
    </row>
    <row r="32" spans="1:19" x14ac:dyDescent="0.25">
      <c r="A32" s="6" t="s">
        <v>279</v>
      </c>
      <c r="B32" s="6">
        <v>189</v>
      </c>
      <c r="C32" s="6" t="s">
        <v>23</v>
      </c>
      <c r="D32" s="6" t="s">
        <v>634</v>
      </c>
      <c r="E32" s="6" t="s">
        <v>684</v>
      </c>
      <c r="F32" s="6" t="s">
        <v>23</v>
      </c>
      <c r="G32" s="6">
        <v>96</v>
      </c>
      <c r="H32" s="6">
        <v>139</v>
      </c>
      <c r="I32" s="15" t="s">
        <v>745</v>
      </c>
      <c r="J32" s="6">
        <v>168</v>
      </c>
      <c r="K32" s="6" t="s">
        <v>746</v>
      </c>
      <c r="L32" s="6" t="s">
        <v>23</v>
      </c>
      <c r="M32" s="6">
        <v>96</v>
      </c>
      <c r="N32" s="6">
        <v>140</v>
      </c>
      <c r="O32" s="6" t="s">
        <v>746</v>
      </c>
      <c r="P32" s="6">
        <v>168</v>
      </c>
      <c r="Q32" s="6" t="s">
        <v>747</v>
      </c>
      <c r="R32" s="6">
        <v>64</v>
      </c>
      <c r="S32" s="6" t="str">
        <f t="shared" si="0"/>
        <v>RATS</v>
      </c>
    </row>
    <row r="33" spans="1:19" x14ac:dyDescent="0.25">
      <c r="A33" s="6" t="s">
        <v>180</v>
      </c>
      <c r="B33" s="6">
        <v>88</v>
      </c>
      <c r="C33" s="6" t="s">
        <v>23</v>
      </c>
      <c r="D33" s="6" t="s">
        <v>634</v>
      </c>
      <c r="E33" s="6" t="s">
        <v>739</v>
      </c>
      <c r="F33" s="6" t="s">
        <v>675</v>
      </c>
      <c r="G33" s="6">
        <v>44</v>
      </c>
      <c r="H33" s="6">
        <v>66</v>
      </c>
      <c r="I33" s="15" t="s">
        <v>748</v>
      </c>
      <c r="J33" s="6">
        <v>76</v>
      </c>
      <c r="K33" s="6" t="s">
        <v>749</v>
      </c>
      <c r="L33" s="6">
        <v>29</v>
      </c>
      <c r="M33" s="6">
        <v>47</v>
      </c>
      <c r="N33" s="6">
        <v>69</v>
      </c>
      <c r="O33" s="6" t="s">
        <v>748</v>
      </c>
      <c r="P33" s="6">
        <v>79</v>
      </c>
      <c r="Q33" s="6" t="s">
        <v>750</v>
      </c>
      <c r="R33" s="6">
        <v>29</v>
      </c>
      <c r="S33" s="6" t="str">
        <f t="shared" si="0"/>
        <v/>
      </c>
    </row>
    <row r="34" spans="1:19" x14ac:dyDescent="0.25">
      <c r="A34" s="6" t="s">
        <v>187</v>
      </c>
      <c r="B34" s="6">
        <v>89</v>
      </c>
      <c r="C34" s="6" t="s">
        <v>23</v>
      </c>
      <c r="D34" s="6" t="s">
        <v>634</v>
      </c>
      <c r="E34" s="6" t="s">
        <v>739</v>
      </c>
      <c r="F34" s="6" t="s">
        <v>23</v>
      </c>
      <c r="G34" s="6">
        <v>45</v>
      </c>
      <c r="H34" s="6">
        <v>67</v>
      </c>
      <c r="I34" s="15" t="s">
        <v>751</v>
      </c>
      <c r="J34" s="6">
        <v>77</v>
      </c>
      <c r="K34" s="6" t="s">
        <v>752</v>
      </c>
      <c r="L34" s="6" t="s">
        <v>23</v>
      </c>
      <c r="M34" s="6" t="s">
        <v>23</v>
      </c>
      <c r="N34" s="6" t="s">
        <v>23</v>
      </c>
      <c r="O34" s="6" t="s">
        <v>753</v>
      </c>
      <c r="P34" s="6">
        <v>80</v>
      </c>
      <c r="Q34" s="6" t="s">
        <v>754</v>
      </c>
      <c r="R34" s="6">
        <v>30</v>
      </c>
      <c r="S34" s="6" t="str">
        <f t="shared" si="0"/>
        <v>RATS</v>
      </c>
    </row>
    <row r="35" spans="1:19" x14ac:dyDescent="0.25">
      <c r="A35" s="6" t="s">
        <v>194</v>
      </c>
      <c r="B35" s="6">
        <v>105</v>
      </c>
      <c r="C35" s="6" t="s">
        <v>23</v>
      </c>
      <c r="D35" s="6" t="s">
        <v>634</v>
      </c>
      <c r="E35" s="6" t="s">
        <v>684</v>
      </c>
      <c r="F35" s="6" t="s">
        <v>651</v>
      </c>
      <c r="G35" s="6" t="s">
        <v>23</v>
      </c>
      <c r="H35" s="6" t="s">
        <v>23</v>
      </c>
      <c r="I35" s="15" t="s">
        <v>755</v>
      </c>
      <c r="J35" s="6">
        <v>92</v>
      </c>
      <c r="K35" s="6" t="s">
        <v>756</v>
      </c>
      <c r="L35" s="6">
        <v>33</v>
      </c>
      <c r="M35" s="6">
        <v>51</v>
      </c>
      <c r="N35" s="6">
        <v>73</v>
      </c>
      <c r="O35" s="6" t="s">
        <v>755</v>
      </c>
      <c r="P35" s="6">
        <v>92</v>
      </c>
      <c r="Q35" s="6" t="s">
        <v>757</v>
      </c>
      <c r="R35" s="6">
        <v>34</v>
      </c>
      <c r="S35" s="6" t="str">
        <f t="shared" si="0"/>
        <v/>
      </c>
    </row>
    <row r="36" spans="1:19" x14ac:dyDescent="0.25">
      <c r="A36" s="6" t="s">
        <v>201</v>
      </c>
      <c r="B36" s="6">
        <v>106</v>
      </c>
      <c r="C36" s="6" t="s">
        <v>758</v>
      </c>
      <c r="D36" s="6" t="s">
        <v>634</v>
      </c>
      <c r="E36" s="6" t="s">
        <v>759</v>
      </c>
      <c r="F36" s="6" t="s">
        <v>760</v>
      </c>
      <c r="G36" s="6">
        <v>52</v>
      </c>
      <c r="H36" s="6">
        <v>74</v>
      </c>
      <c r="I36" s="15" t="s">
        <v>761</v>
      </c>
      <c r="J36" s="6">
        <v>93</v>
      </c>
      <c r="K36" s="6" t="s">
        <v>762</v>
      </c>
      <c r="L36" s="6">
        <v>34</v>
      </c>
      <c r="M36" s="6">
        <v>52</v>
      </c>
      <c r="N36" s="6">
        <v>74</v>
      </c>
      <c r="O36" s="6" t="s">
        <v>763</v>
      </c>
      <c r="P36" s="6">
        <v>93</v>
      </c>
      <c r="Q36" s="6" t="s">
        <v>764</v>
      </c>
      <c r="R36" s="6">
        <v>35</v>
      </c>
      <c r="S36" s="6" t="str">
        <f t="shared" si="0"/>
        <v>RATS</v>
      </c>
    </row>
    <row r="37" spans="1:19" x14ac:dyDescent="0.25">
      <c r="A37" s="6" t="s">
        <v>206</v>
      </c>
      <c r="B37" s="6">
        <v>107</v>
      </c>
      <c r="C37" s="6" t="s">
        <v>765</v>
      </c>
      <c r="D37" s="6" t="s">
        <v>634</v>
      </c>
      <c r="E37" s="6" t="s">
        <v>759</v>
      </c>
      <c r="F37" s="6" t="s">
        <v>766</v>
      </c>
      <c r="G37" s="6">
        <v>53</v>
      </c>
      <c r="H37" s="6">
        <v>75</v>
      </c>
      <c r="I37" s="15" t="s">
        <v>767</v>
      </c>
      <c r="J37" s="6">
        <v>94</v>
      </c>
      <c r="K37" s="6" t="s">
        <v>768</v>
      </c>
      <c r="L37" s="6">
        <v>35</v>
      </c>
      <c r="M37" s="6">
        <v>53</v>
      </c>
      <c r="N37" s="6">
        <v>75</v>
      </c>
      <c r="O37" s="6" t="s">
        <v>769</v>
      </c>
      <c r="P37" s="6">
        <v>94</v>
      </c>
      <c r="Q37" s="6" t="s">
        <v>770</v>
      </c>
      <c r="R37" s="6">
        <v>36</v>
      </c>
      <c r="S37" s="6" t="str">
        <f t="shared" si="0"/>
        <v>RATS</v>
      </c>
    </row>
    <row r="38" spans="1:19" x14ac:dyDescent="0.25">
      <c r="A38" s="6" t="s">
        <v>212</v>
      </c>
      <c r="B38" s="6">
        <v>108</v>
      </c>
      <c r="C38" s="6" t="s">
        <v>771</v>
      </c>
      <c r="D38" s="6" t="s">
        <v>634</v>
      </c>
      <c r="E38" s="6" t="s">
        <v>694</v>
      </c>
      <c r="F38" s="6" t="s">
        <v>772</v>
      </c>
      <c r="G38" s="6">
        <v>54</v>
      </c>
      <c r="H38" s="6">
        <v>76</v>
      </c>
      <c r="I38" s="15" t="s">
        <v>773</v>
      </c>
      <c r="J38" s="6">
        <v>95</v>
      </c>
      <c r="K38" s="6" t="s">
        <v>774</v>
      </c>
      <c r="L38" s="6">
        <v>36</v>
      </c>
      <c r="M38" s="6">
        <v>54</v>
      </c>
      <c r="N38" s="6">
        <v>76</v>
      </c>
      <c r="O38" s="6" t="s">
        <v>767</v>
      </c>
      <c r="P38" s="6">
        <v>95</v>
      </c>
      <c r="Q38" s="6" t="s">
        <v>762</v>
      </c>
      <c r="R38" s="6">
        <v>37</v>
      </c>
      <c r="S38" s="6" t="str">
        <f t="shared" si="0"/>
        <v>RATS</v>
      </c>
    </row>
    <row r="39" spans="1:19" x14ac:dyDescent="0.25">
      <c r="A39" s="6" t="s">
        <v>286</v>
      </c>
      <c r="B39" s="6">
        <v>36</v>
      </c>
      <c r="C39" s="6" t="s">
        <v>775</v>
      </c>
      <c r="D39" s="6" t="s">
        <v>634</v>
      </c>
      <c r="E39" s="6" t="s">
        <v>776</v>
      </c>
      <c r="F39" s="6" t="s">
        <v>777</v>
      </c>
      <c r="G39" s="6">
        <v>15</v>
      </c>
      <c r="H39" s="6">
        <v>26</v>
      </c>
      <c r="I39" s="15" t="s">
        <v>778</v>
      </c>
      <c r="J39" s="6">
        <v>31</v>
      </c>
      <c r="K39" s="6" t="s">
        <v>772</v>
      </c>
      <c r="L39" s="6">
        <v>8</v>
      </c>
      <c r="M39" s="6">
        <v>15</v>
      </c>
      <c r="N39" s="6">
        <v>26</v>
      </c>
      <c r="O39" s="6" t="s">
        <v>640</v>
      </c>
      <c r="P39" s="6">
        <v>32</v>
      </c>
      <c r="Q39" s="6" t="s">
        <v>760</v>
      </c>
      <c r="R39" s="6">
        <v>8</v>
      </c>
      <c r="S39" s="6" t="str">
        <f t="shared" si="0"/>
        <v>RATS</v>
      </c>
    </row>
    <row r="40" spans="1:19" x14ac:dyDescent="0.25">
      <c r="A40" s="6" t="s">
        <v>291</v>
      </c>
      <c r="B40" s="6">
        <v>37</v>
      </c>
      <c r="C40" s="6" t="s">
        <v>779</v>
      </c>
      <c r="D40" s="6" t="s">
        <v>634</v>
      </c>
      <c r="E40" s="6" t="s">
        <v>659</v>
      </c>
      <c r="F40" s="6" t="s">
        <v>780</v>
      </c>
      <c r="G40" s="6">
        <v>16</v>
      </c>
      <c r="H40" s="6">
        <v>27</v>
      </c>
      <c r="I40" s="15" t="s">
        <v>781</v>
      </c>
      <c r="J40" s="6">
        <v>32</v>
      </c>
      <c r="K40" s="6" t="s">
        <v>782</v>
      </c>
      <c r="L40" s="6">
        <v>9</v>
      </c>
      <c r="M40" s="6">
        <v>16</v>
      </c>
      <c r="N40" s="6">
        <v>27</v>
      </c>
      <c r="O40" s="6" t="s">
        <v>778</v>
      </c>
      <c r="P40" s="6">
        <v>33</v>
      </c>
      <c r="Q40" s="6" t="s">
        <v>657</v>
      </c>
      <c r="R40" s="6">
        <v>9</v>
      </c>
      <c r="S40" s="6" t="str">
        <f t="shared" si="0"/>
        <v>RATS</v>
      </c>
    </row>
    <row r="41" spans="1:19" x14ac:dyDescent="0.25">
      <c r="A41" s="6" t="s">
        <v>313</v>
      </c>
      <c r="B41" s="6">
        <v>38</v>
      </c>
      <c r="C41" s="6" t="s">
        <v>783</v>
      </c>
      <c r="D41" s="6" t="s">
        <v>634</v>
      </c>
      <c r="E41" s="6" t="s">
        <v>776</v>
      </c>
      <c r="F41" s="6" t="s">
        <v>749</v>
      </c>
      <c r="G41" s="6">
        <v>17</v>
      </c>
      <c r="H41" s="6">
        <v>28</v>
      </c>
      <c r="I41" s="15" t="s">
        <v>784</v>
      </c>
      <c r="J41" s="6">
        <v>33</v>
      </c>
      <c r="K41" s="6" t="s">
        <v>661</v>
      </c>
      <c r="L41" s="6">
        <v>10</v>
      </c>
      <c r="M41" s="6">
        <v>17</v>
      </c>
      <c r="N41" s="6">
        <v>28</v>
      </c>
      <c r="O41" s="6" t="s">
        <v>781</v>
      </c>
      <c r="P41" s="6">
        <v>34</v>
      </c>
      <c r="Q41" s="6" t="s">
        <v>667</v>
      </c>
      <c r="R41" s="6">
        <v>10</v>
      </c>
      <c r="S41" s="6" t="str">
        <f t="shared" si="0"/>
        <v>RATS</v>
      </c>
    </row>
    <row r="42" spans="1:19" x14ac:dyDescent="0.25">
      <c r="A42" s="6" t="s">
        <v>318</v>
      </c>
      <c r="B42" s="6">
        <v>39</v>
      </c>
      <c r="C42" s="6" t="s">
        <v>785</v>
      </c>
      <c r="D42" s="6" t="s">
        <v>634</v>
      </c>
      <c r="E42" s="6" t="s">
        <v>776</v>
      </c>
      <c r="F42" s="6" t="s">
        <v>786</v>
      </c>
      <c r="G42" s="6">
        <v>18</v>
      </c>
      <c r="H42" s="6">
        <v>29</v>
      </c>
      <c r="I42" s="15" t="s">
        <v>787</v>
      </c>
      <c r="J42" s="6">
        <v>34</v>
      </c>
      <c r="K42" s="6" t="s">
        <v>646</v>
      </c>
      <c r="L42" s="6">
        <v>11</v>
      </c>
      <c r="M42" s="6">
        <v>18</v>
      </c>
      <c r="N42" s="6">
        <v>29</v>
      </c>
      <c r="O42" s="6" t="s">
        <v>650</v>
      </c>
      <c r="P42" s="6">
        <v>35</v>
      </c>
      <c r="Q42" s="6" t="s">
        <v>668</v>
      </c>
      <c r="R42" s="6">
        <v>11</v>
      </c>
      <c r="S42" s="6" t="str">
        <f t="shared" si="0"/>
        <v>RATS</v>
      </c>
    </row>
    <row r="43" spans="1:19" x14ac:dyDescent="0.25">
      <c r="A43" s="6" t="s">
        <v>324</v>
      </c>
      <c r="B43" s="6">
        <v>62</v>
      </c>
      <c r="C43" s="6" t="s">
        <v>788</v>
      </c>
      <c r="D43" s="6" t="s">
        <v>634</v>
      </c>
      <c r="E43" s="6" t="s">
        <v>776</v>
      </c>
      <c r="F43" s="6" t="s">
        <v>728</v>
      </c>
      <c r="G43" s="6" t="s">
        <v>23</v>
      </c>
      <c r="H43" s="6" t="s">
        <v>23</v>
      </c>
      <c r="I43" s="15" t="s">
        <v>722</v>
      </c>
      <c r="J43" s="6">
        <v>51</v>
      </c>
      <c r="K43" s="6" t="s">
        <v>670</v>
      </c>
      <c r="L43" s="6">
        <v>24</v>
      </c>
      <c r="M43" s="6">
        <v>33</v>
      </c>
      <c r="N43" s="6">
        <v>44</v>
      </c>
      <c r="O43" s="6" t="s">
        <v>662</v>
      </c>
      <c r="P43" s="6">
        <v>54</v>
      </c>
      <c r="Q43" s="6" t="s">
        <v>662</v>
      </c>
      <c r="R43" s="6">
        <v>24</v>
      </c>
      <c r="S43" s="6" t="str">
        <f t="shared" si="0"/>
        <v>RATS</v>
      </c>
    </row>
    <row r="44" spans="1:19" x14ac:dyDescent="0.25">
      <c r="A44" s="6" t="s">
        <v>329</v>
      </c>
      <c r="B44" s="6">
        <v>63</v>
      </c>
      <c r="C44" s="6" t="s">
        <v>789</v>
      </c>
      <c r="D44" s="6" t="s">
        <v>634</v>
      </c>
      <c r="E44" s="6" t="s">
        <v>659</v>
      </c>
      <c r="F44" s="6" t="s">
        <v>790</v>
      </c>
      <c r="G44" s="6" t="s">
        <v>23</v>
      </c>
      <c r="H44" s="6" t="s">
        <v>23</v>
      </c>
      <c r="I44" s="15" t="s">
        <v>668</v>
      </c>
      <c r="J44" s="6">
        <v>52</v>
      </c>
      <c r="K44" s="6" t="s">
        <v>675</v>
      </c>
      <c r="L44" s="6">
        <v>25</v>
      </c>
      <c r="M44" s="6">
        <v>34</v>
      </c>
      <c r="N44" s="6">
        <v>45</v>
      </c>
      <c r="O44" s="6" t="s">
        <v>677</v>
      </c>
      <c r="P44" s="6">
        <v>55</v>
      </c>
      <c r="Q44" s="6" t="s">
        <v>678</v>
      </c>
      <c r="R44" s="6">
        <v>25</v>
      </c>
      <c r="S44" s="6" t="str">
        <f t="shared" si="0"/>
        <v>RATS</v>
      </c>
    </row>
    <row r="45" spans="1:19" x14ac:dyDescent="0.25">
      <c r="A45" s="6" t="s">
        <v>336</v>
      </c>
      <c r="B45" s="6">
        <v>131</v>
      </c>
      <c r="C45" s="6" t="s">
        <v>23</v>
      </c>
      <c r="D45" s="6" t="s">
        <v>634</v>
      </c>
      <c r="E45" s="6" t="s">
        <v>694</v>
      </c>
      <c r="F45" s="6" t="s">
        <v>781</v>
      </c>
      <c r="G45" s="6">
        <v>63</v>
      </c>
      <c r="H45" s="6">
        <v>96</v>
      </c>
      <c r="I45" s="15" t="s">
        <v>791</v>
      </c>
      <c r="J45" s="6">
        <v>115</v>
      </c>
      <c r="K45" s="6" t="s">
        <v>792</v>
      </c>
      <c r="L45" s="6">
        <v>37</v>
      </c>
      <c r="M45" s="6">
        <v>63</v>
      </c>
      <c r="N45" s="6">
        <v>96</v>
      </c>
      <c r="O45" s="6" t="s">
        <v>793</v>
      </c>
      <c r="P45" s="6">
        <v>115</v>
      </c>
      <c r="Q45" s="6" t="s">
        <v>794</v>
      </c>
      <c r="R45" s="6">
        <v>40</v>
      </c>
      <c r="S45" s="6" t="str">
        <f t="shared" si="0"/>
        <v>RATS</v>
      </c>
    </row>
    <row r="46" spans="1:19" x14ac:dyDescent="0.25">
      <c r="A46" s="6" t="s">
        <v>345</v>
      </c>
      <c r="B46" s="6">
        <v>132</v>
      </c>
      <c r="C46" s="6" t="s">
        <v>23</v>
      </c>
      <c r="D46" s="6" t="s">
        <v>634</v>
      </c>
      <c r="E46" s="6" t="s">
        <v>694</v>
      </c>
      <c r="F46" s="6" t="s">
        <v>661</v>
      </c>
      <c r="G46" s="6">
        <v>64</v>
      </c>
      <c r="H46" s="6">
        <v>97</v>
      </c>
      <c r="I46" s="15" t="s">
        <v>795</v>
      </c>
      <c r="J46" s="6">
        <v>116</v>
      </c>
      <c r="K46" s="6" t="s">
        <v>796</v>
      </c>
      <c r="L46" s="6">
        <v>38</v>
      </c>
      <c r="M46" s="6">
        <v>64</v>
      </c>
      <c r="N46" s="6">
        <v>97</v>
      </c>
      <c r="O46" s="6" t="s">
        <v>791</v>
      </c>
      <c r="P46" s="6">
        <v>116</v>
      </c>
      <c r="Q46" s="6" t="s">
        <v>797</v>
      </c>
      <c r="R46" s="6">
        <v>41</v>
      </c>
      <c r="S46" s="6" t="str">
        <f t="shared" si="0"/>
        <v>RATS</v>
      </c>
    </row>
    <row r="47" spans="1:19" x14ac:dyDescent="0.25">
      <c r="A47" s="6" t="s">
        <v>354</v>
      </c>
      <c r="B47" s="6">
        <v>133</v>
      </c>
      <c r="C47" s="6" t="s">
        <v>23</v>
      </c>
      <c r="D47" s="6" t="s">
        <v>634</v>
      </c>
      <c r="E47" s="6" t="s">
        <v>694</v>
      </c>
      <c r="F47" s="6" t="s">
        <v>652</v>
      </c>
      <c r="G47" s="6">
        <v>65</v>
      </c>
      <c r="H47" s="6">
        <v>98</v>
      </c>
      <c r="I47" s="15" t="s">
        <v>743</v>
      </c>
      <c r="J47" s="6">
        <v>117</v>
      </c>
      <c r="K47" s="6" t="s">
        <v>798</v>
      </c>
      <c r="L47" s="6">
        <v>39</v>
      </c>
      <c r="M47" s="6">
        <v>65</v>
      </c>
      <c r="N47" s="6">
        <v>98</v>
      </c>
      <c r="O47" s="6" t="s">
        <v>799</v>
      </c>
      <c r="P47" s="6">
        <v>117</v>
      </c>
      <c r="Q47" s="6" t="s">
        <v>792</v>
      </c>
      <c r="R47" s="6">
        <v>42</v>
      </c>
      <c r="S47" s="6" t="str">
        <f t="shared" si="0"/>
        <v>RATS</v>
      </c>
    </row>
    <row r="48" spans="1:19" x14ac:dyDescent="0.25">
      <c r="A48" s="6" t="s">
        <v>362</v>
      </c>
      <c r="B48" s="6">
        <v>134</v>
      </c>
      <c r="C48" s="6" t="s">
        <v>800</v>
      </c>
      <c r="D48" s="6" t="s">
        <v>634</v>
      </c>
      <c r="E48" s="6" t="s">
        <v>684</v>
      </c>
      <c r="F48" s="6" t="s">
        <v>801</v>
      </c>
      <c r="G48" s="6">
        <v>66</v>
      </c>
      <c r="H48" s="6">
        <v>99</v>
      </c>
      <c r="I48" s="15" t="s">
        <v>688</v>
      </c>
      <c r="J48" s="6">
        <v>118</v>
      </c>
      <c r="K48" s="6" t="s">
        <v>691</v>
      </c>
      <c r="L48" s="6">
        <v>40</v>
      </c>
      <c r="M48" s="6">
        <v>66</v>
      </c>
      <c r="N48" s="6">
        <v>99</v>
      </c>
      <c r="O48" s="6" t="s">
        <v>796</v>
      </c>
      <c r="P48" s="6">
        <v>118</v>
      </c>
      <c r="Q48" s="6" t="s">
        <v>798</v>
      </c>
      <c r="R48" s="6">
        <v>43</v>
      </c>
      <c r="S48" s="6" t="str">
        <f t="shared" si="0"/>
        <v>RATS</v>
      </c>
    </row>
    <row r="49" spans="1:19" x14ac:dyDescent="0.25">
      <c r="A49" s="6" t="s">
        <v>299</v>
      </c>
      <c r="B49" s="6">
        <v>157</v>
      </c>
      <c r="C49" s="6" t="s">
        <v>23</v>
      </c>
      <c r="D49" s="6" t="s">
        <v>634</v>
      </c>
      <c r="E49" s="6" t="s">
        <v>694</v>
      </c>
      <c r="F49" s="6" t="s">
        <v>802</v>
      </c>
      <c r="G49" s="6">
        <v>78</v>
      </c>
      <c r="H49" s="6">
        <v>111</v>
      </c>
      <c r="I49" s="15" t="s">
        <v>733</v>
      </c>
      <c r="J49" s="6">
        <v>139</v>
      </c>
      <c r="K49" s="6" t="s">
        <v>708</v>
      </c>
      <c r="L49" s="6">
        <v>51</v>
      </c>
      <c r="M49" s="6">
        <v>78</v>
      </c>
      <c r="N49" s="6">
        <v>111</v>
      </c>
      <c r="O49" s="6" t="s">
        <v>712</v>
      </c>
      <c r="P49" s="6">
        <v>139</v>
      </c>
      <c r="Q49" s="6" t="s">
        <v>803</v>
      </c>
      <c r="R49" s="6">
        <v>54</v>
      </c>
      <c r="S49" s="6" t="str">
        <f t="shared" si="0"/>
        <v>RATS</v>
      </c>
    </row>
    <row r="50" spans="1:19" x14ac:dyDescent="0.25">
      <c r="A50" s="6" t="s">
        <v>303</v>
      </c>
      <c r="B50" s="6">
        <v>158</v>
      </c>
      <c r="C50" s="6" t="s">
        <v>23</v>
      </c>
      <c r="D50" s="6" t="s">
        <v>634</v>
      </c>
      <c r="E50" s="6" t="s">
        <v>694</v>
      </c>
      <c r="F50" s="6" t="s">
        <v>745</v>
      </c>
      <c r="G50" s="6">
        <v>79</v>
      </c>
      <c r="H50" s="6">
        <v>112</v>
      </c>
      <c r="I50" s="15" t="s">
        <v>737</v>
      </c>
      <c r="J50" s="6">
        <v>140</v>
      </c>
      <c r="K50" s="6" t="s">
        <v>804</v>
      </c>
      <c r="L50" s="6">
        <v>52</v>
      </c>
      <c r="M50" s="6">
        <v>79</v>
      </c>
      <c r="N50" s="6">
        <v>112</v>
      </c>
      <c r="O50" s="6" t="s">
        <v>805</v>
      </c>
      <c r="P50" s="6">
        <v>140</v>
      </c>
      <c r="Q50" s="6" t="s">
        <v>703</v>
      </c>
      <c r="R50" s="6">
        <v>55</v>
      </c>
      <c r="S50" s="6" t="str">
        <f t="shared" si="0"/>
        <v>RATS</v>
      </c>
    </row>
    <row r="51" spans="1:19" x14ac:dyDescent="0.25">
      <c r="A51" s="6" t="s">
        <v>306</v>
      </c>
      <c r="B51" s="6">
        <v>159</v>
      </c>
      <c r="C51" s="6" t="s">
        <v>23</v>
      </c>
      <c r="D51" s="6" t="s">
        <v>634</v>
      </c>
      <c r="E51" s="6" t="s">
        <v>694</v>
      </c>
      <c r="F51" s="6" t="s">
        <v>730</v>
      </c>
      <c r="G51" s="6">
        <v>80</v>
      </c>
      <c r="H51" s="6">
        <v>113</v>
      </c>
      <c r="I51" s="15" t="s">
        <v>806</v>
      </c>
      <c r="J51" s="6">
        <v>141</v>
      </c>
      <c r="K51" s="6" t="s">
        <v>807</v>
      </c>
      <c r="L51" s="6">
        <v>53</v>
      </c>
      <c r="M51" s="6">
        <v>80</v>
      </c>
      <c r="N51" s="6">
        <v>113</v>
      </c>
      <c r="O51" s="6" t="s">
        <v>808</v>
      </c>
      <c r="P51" s="6">
        <v>141</v>
      </c>
      <c r="Q51" s="6" t="s">
        <v>713</v>
      </c>
      <c r="R51" s="6">
        <v>56</v>
      </c>
      <c r="S51" s="6" t="str">
        <f t="shared" si="0"/>
        <v>RATS</v>
      </c>
    </row>
    <row r="52" spans="1:19" x14ac:dyDescent="0.25">
      <c r="A52" s="6" t="s">
        <v>310</v>
      </c>
      <c r="B52" s="6">
        <v>11</v>
      </c>
      <c r="C52" s="6" t="s">
        <v>809</v>
      </c>
      <c r="D52" s="6" t="s">
        <v>634</v>
      </c>
      <c r="E52" s="6" t="s">
        <v>810</v>
      </c>
      <c r="F52" s="6" t="s">
        <v>811</v>
      </c>
      <c r="G52" s="6">
        <v>7</v>
      </c>
      <c r="H52" s="6">
        <v>7</v>
      </c>
      <c r="I52" s="15" t="s">
        <v>711</v>
      </c>
      <c r="J52" s="6">
        <v>8</v>
      </c>
      <c r="K52" s="6" t="s">
        <v>711</v>
      </c>
      <c r="L52" s="6">
        <v>2</v>
      </c>
      <c r="M52" s="6">
        <v>7</v>
      </c>
      <c r="N52" s="6">
        <v>7</v>
      </c>
      <c r="O52" s="6" t="s">
        <v>812</v>
      </c>
      <c r="P52" s="6">
        <v>8</v>
      </c>
      <c r="Q52" s="6" t="s">
        <v>813</v>
      </c>
      <c r="R52" s="6">
        <v>2</v>
      </c>
      <c r="S52" s="6" t="str">
        <f t="shared" si="0"/>
        <v>RATS</v>
      </c>
    </row>
    <row r="53" spans="1:19" x14ac:dyDescent="0.25">
      <c r="A53" s="6" t="s">
        <v>311</v>
      </c>
      <c r="B53" s="6">
        <v>13</v>
      </c>
      <c r="C53" s="6" t="s">
        <v>814</v>
      </c>
      <c r="D53" s="6" t="s">
        <v>634</v>
      </c>
      <c r="E53" s="6" t="s">
        <v>706</v>
      </c>
      <c r="F53" s="6" t="s">
        <v>815</v>
      </c>
      <c r="G53" s="6">
        <v>8</v>
      </c>
      <c r="H53" s="6">
        <v>8</v>
      </c>
      <c r="I53" s="15" t="s">
        <v>813</v>
      </c>
      <c r="J53" s="6">
        <v>9</v>
      </c>
      <c r="K53" s="6" t="s">
        <v>816</v>
      </c>
      <c r="L53" s="6">
        <v>3</v>
      </c>
      <c r="M53" s="6">
        <v>8</v>
      </c>
      <c r="N53" s="6">
        <v>8</v>
      </c>
      <c r="O53" s="6" t="s">
        <v>817</v>
      </c>
      <c r="P53" s="6">
        <v>9</v>
      </c>
      <c r="Q53" s="6" t="s">
        <v>704</v>
      </c>
      <c r="R53" s="6" t="s">
        <v>23</v>
      </c>
      <c r="S53" s="6" t="str">
        <f t="shared" si="0"/>
        <v>RATS</v>
      </c>
    </row>
    <row r="54" spans="1:19" x14ac:dyDescent="0.25">
      <c r="A54" s="6" t="s">
        <v>312</v>
      </c>
      <c r="B54" s="6">
        <v>14</v>
      </c>
      <c r="C54" s="6" t="s">
        <v>818</v>
      </c>
      <c r="D54" s="6" t="s">
        <v>634</v>
      </c>
      <c r="E54" s="6" t="s">
        <v>706</v>
      </c>
      <c r="F54" s="6" t="s">
        <v>791</v>
      </c>
      <c r="G54" s="6">
        <v>9</v>
      </c>
      <c r="H54" s="6">
        <v>9</v>
      </c>
      <c r="I54" s="15" t="s">
        <v>699</v>
      </c>
      <c r="J54" s="6">
        <v>10</v>
      </c>
      <c r="K54" s="6" t="s">
        <v>813</v>
      </c>
      <c r="L54" s="6">
        <v>4</v>
      </c>
      <c r="M54" s="6">
        <v>9</v>
      </c>
      <c r="N54" s="6">
        <v>9</v>
      </c>
      <c r="O54" s="6" t="s">
        <v>702</v>
      </c>
      <c r="P54" s="6">
        <v>10</v>
      </c>
      <c r="Q54" s="6" t="s">
        <v>798</v>
      </c>
      <c r="R54" s="6" t="s">
        <v>23</v>
      </c>
      <c r="S54" s="6" t="str">
        <f t="shared" si="0"/>
        <v>RATS</v>
      </c>
    </row>
    <row r="55" spans="1:19" x14ac:dyDescent="0.25">
      <c r="A55" s="6" t="s">
        <v>370</v>
      </c>
      <c r="B55" s="6">
        <v>162</v>
      </c>
      <c r="C55" s="6" t="s">
        <v>23</v>
      </c>
      <c r="D55" s="6" t="s">
        <v>634</v>
      </c>
      <c r="E55" s="6" t="s">
        <v>694</v>
      </c>
      <c r="F55" s="6" t="s">
        <v>819</v>
      </c>
      <c r="G55" s="6">
        <v>81</v>
      </c>
      <c r="H55" s="6">
        <v>114</v>
      </c>
      <c r="I55" s="15" t="s">
        <v>811</v>
      </c>
      <c r="J55" s="6">
        <v>142</v>
      </c>
      <c r="K55" s="6" t="s">
        <v>820</v>
      </c>
      <c r="L55" s="6" t="s">
        <v>23</v>
      </c>
      <c r="M55" s="6">
        <v>81</v>
      </c>
      <c r="N55" s="6">
        <v>114</v>
      </c>
      <c r="O55" s="6" t="s">
        <v>806</v>
      </c>
      <c r="P55" s="6">
        <v>142</v>
      </c>
      <c r="Q55" s="6" t="s">
        <v>820</v>
      </c>
      <c r="R55" s="6" t="s">
        <v>23</v>
      </c>
      <c r="S55" s="6" t="str">
        <f t="shared" si="0"/>
        <v>RATS</v>
      </c>
    </row>
    <row r="56" spans="1:19" x14ac:dyDescent="0.25">
      <c r="A56" s="6" t="s">
        <v>374</v>
      </c>
      <c r="B56" s="6">
        <v>163</v>
      </c>
      <c r="C56" s="6" t="s">
        <v>23</v>
      </c>
      <c r="D56" s="6" t="s">
        <v>634</v>
      </c>
      <c r="E56" s="6" t="s">
        <v>694</v>
      </c>
      <c r="F56" s="6" t="s">
        <v>747</v>
      </c>
      <c r="G56" s="6">
        <v>82</v>
      </c>
      <c r="H56" s="6">
        <v>115</v>
      </c>
      <c r="I56" s="15" t="s">
        <v>808</v>
      </c>
      <c r="J56" s="6">
        <v>143</v>
      </c>
      <c r="K56" s="6" t="s">
        <v>718</v>
      </c>
      <c r="L56" s="6" t="s">
        <v>23</v>
      </c>
      <c r="M56" s="6">
        <v>82</v>
      </c>
      <c r="N56" s="6">
        <v>115</v>
      </c>
      <c r="O56" s="6" t="s">
        <v>743</v>
      </c>
      <c r="P56" s="6">
        <v>143</v>
      </c>
      <c r="Q56" s="6" t="s">
        <v>804</v>
      </c>
      <c r="R56" s="6" t="s">
        <v>23</v>
      </c>
      <c r="S56" s="6" t="str">
        <f t="shared" si="0"/>
        <v>RATS</v>
      </c>
    </row>
    <row r="57" spans="1:19" x14ac:dyDescent="0.25">
      <c r="A57" s="6" t="s">
        <v>402</v>
      </c>
      <c r="B57" s="6">
        <v>164</v>
      </c>
      <c r="C57" s="6" t="s">
        <v>821</v>
      </c>
      <c r="D57" s="6" t="s">
        <v>634</v>
      </c>
      <c r="E57" s="6" t="s">
        <v>694</v>
      </c>
      <c r="F57" s="6" t="s">
        <v>632</v>
      </c>
      <c r="G57" s="6">
        <v>83</v>
      </c>
      <c r="H57" s="6">
        <v>116</v>
      </c>
      <c r="I57" s="15" t="s">
        <v>822</v>
      </c>
      <c r="J57" s="6">
        <v>144</v>
      </c>
      <c r="K57" s="6" t="s">
        <v>712</v>
      </c>
      <c r="L57" s="6">
        <v>54</v>
      </c>
      <c r="M57" s="6">
        <v>83</v>
      </c>
      <c r="N57" s="6">
        <v>116</v>
      </c>
      <c r="O57" s="6" t="s">
        <v>811</v>
      </c>
      <c r="P57" s="6">
        <v>144</v>
      </c>
      <c r="Q57" s="6" t="s">
        <v>708</v>
      </c>
      <c r="R57" s="6" t="s">
        <v>23</v>
      </c>
      <c r="S57" s="6" t="str">
        <f t="shared" si="0"/>
        <v>RATS</v>
      </c>
    </row>
    <row r="58" spans="1:19" x14ac:dyDescent="0.25">
      <c r="A58" s="6" t="s">
        <v>407</v>
      </c>
      <c r="B58" s="6">
        <v>165</v>
      </c>
      <c r="C58" s="6" t="s">
        <v>823</v>
      </c>
      <c r="D58" s="6" t="s">
        <v>634</v>
      </c>
      <c r="E58" s="6" t="s">
        <v>694</v>
      </c>
      <c r="F58" s="6" t="s">
        <v>23</v>
      </c>
      <c r="G58" s="6">
        <v>84</v>
      </c>
      <c r="H58" s="6">
        <v>117</v>
      </c>
      <c r="I58" s="15" t="s">
        <v>824</v>
      </c>
      <c r="J58" s="6">
        <v>145</v>
      </c>
      <c r="K58" s="6" t="s">
        <v>713</v>
      </c>
      <c r="L58" s="6" t="s">
        <v>23</v>
      </c>
      <c r="M58" s="6">
        <v>84</v>
      </c>
      <c r="N58" s="6">
        <v>117</v>
      </c>
      <c r="O58" s="6" t="s">
        <v>737</v>
      </c>
      <c r="P58" s="6">
        <v>145</v>
      </c>
      <c r="Q58" s="6" t="s">
        <v>825</v>
      </c>
      <c r="R58" s="6" t="s">
        <v>23</v>
      </c>
      <c r="S58" s="6" t="str">
        <f t="shared" si="0"/>
        <v>RATS</v>
      </c>
    </row>
    <row r="59" spans="1:19" x14ac:dyDescent="0.25">
      <c r="A59" s="6" t="s">
        <v>411</v>
      </c>
      <c r="B59" s="6">
        <v>166</v>
      </c>
      <c r="C59" s="6" t="s">
        <v>23</v>
      </c>
      <c r="D59" s="6" t="s">
        <v>634</v>
      </c>
      <c r="E59" s="6" t="s">
        <v>694</v>
      </c>
      <c r="F59" s="6" t="s">
        <v>23</v>
      </c>
      <c r="G59" s="6">
        <v>85</v>
      </c>
      <c r="H59" s="6">
        <v>118</v>
      </c>
      <c r="I59" s="15" t="s">
        <v>630</v>
      </c>
      <c r="J59" s="6">
        <v>146</v>
      </c>
      <c r="K59" s="6" t="s">
        <v>717</v>
      </c>
      <c r="L59" s="6" t="s">
        <v>23</v>
      </c>
      <c r="M59" s="6">
        <v>85</v>
      </c>
      <c r="N59" s="6">
        <v>118</v>
      </c>
      <c r="O59" s="6" t="s">
        <v>636</v>
      </c>
      <c r="P59" s="6">
        <v>146</v>
      </c>
      <c r="Q59" s="6" t="s">
        <v>815</v>
      </c>
      <c r="R59" s="6" t="s">
        <v>23</v>
      </c>
      <c r="S59" s="6" t="str">
        <f t="shared" si="0"/>
        <v>RATS</v>
      </c>
    </row>
    <row r="60" spans="1:19" x14ac:dyDescent="0.25">
      <c r="A60" s="6" t="s">
        <v>413</v>
      </c>
      <c r="B60" s="6">
        <v>167</v>
      </c>
      <c r="C60" s="6" t="s">
        <v>23</v>
      </c>
      <c r="D60" s="6" t="s">
        <v>634</v>
      </c>
      <c r="E60" s="6" t="s">
        <v>694</v>
      </c>
      <c r="F60" s="6" t="s">
        <v>23</v>
      </c>
      <c r="G60" s="6">
        <v>86</v>
      </c>
      <c r="H60" s="6">
        <v>119</v>
      </c>
      <c r="I60" s="15" t="s">
        <v>826</v>
      </c>
      <c r="J60" s="6">
        <v>147</v>
      </c>
      <c r="K60" s="6" t="s">
        <v>805</v>
      </c>
      <c r="L60" s="6" t="s">
        <v>23</v>
      </c>
      <c r="M60" s="6">
        <v>86</v>
      </c>
      <c r="N60" s="6">
        <v>119</v>
      </c>
      <c r="O60" s="6" t="s">
        <v>630</v>
      </c>
      <c r="P60" s="6">
        <v>147</v>
      </c>
      <c r="Q60" s="6" t="s">
        <v>807</v>
      </c>
      <c r="R60" s="6" t="s">
        <v>23</v>
      </c>
      <c r="S60" s="6" t="str">
        <f t="shared" si="0"/>
        <v>RATS</v>
      </c>
    </row>
    <row r="61" spans="1:19" x14ac:dyDescent="0.25">
      <c r="A61" s="6" t="s">
        <v>414</v>
      </c>
      <c r="B61" s="6">
        <v>170</v>
      </c>
      <c r="C61" s="6" t="s">
        <v>23</v>
      </c>
      <c r="D61" s="6" t="s">
        <v>634</v>
      </c>
      <c r="E61" s="6" t="s">
        <v>827</v>
      </c>
      <c r="F61" s="6" t="s">
        <v>23</v>
      </c>
      <c r="G61" s="6">
        <v>87</v>
      </c>
      <c r="H61" s="6">
        <v>122</v>
      </c>
      <c r="I61" s="15" t="s">
        <v>828</v>
      </c>
      <c r="J61" s="6">
        <v>150</v>
      </c>
      <c r="K61" s="6" t="s">
        <v>716</v>
      </c>
      <c r="L61" s="6" t="s">
        <v>23</v>
      </c>
      <c r="M61" s="6">
        <v>87</v>
      </c>
      <c r="N61" s="6">
        <v>122</v>
      </c>
      <c r="O61" s="6" t="s">
        <v>822</v>
      </c>
      <c r="P61" s="6">
        <v>150</v>
      </c>
      <c r="Q61" s="6" t="s">
        <v>717</v>
      </c>
      <c r="R61" s="6" t="s">
        <v>23</v>
      </c>
      <c r="S61" s="6" t="str">
        <f t="shared" si="0"/>
        <v>RATS</v>
      </c>
    </row>
    <row r="62" spans="1:19" x14ac:dyDescent="0.25">
      <c r="A62" s="6" t="s">
        <v>415</v>
      </c>
      <c r="B62" s="6">
        <v>171</v>
      </c>
      <c r="C62" s="6" t="s">
        <v>23</v>
      </c>
      <c r="D62" s="6" t="s">
        <v>634</v>
      </c>
      <c r="E62" s="6" t="s">
        <v>827</v>
      </c>
      <c r="F62" s="6" t="s">
        <v>23</v>
      </c>
      <c r="G62" s="6">
        <v>88</v>
      </c>
      <c r="H62" s="6">
        <v>123</v>
      </c>
      <c r="I62" s="15" t="s">
        <v>731</v>
      </c>
      <c r="J62" s="6">
        <v>151</v>
      </c>
      <c r="K62" s="6" t="s">
        <v>733</v>
      </c>
      <c r="L62" s="6" t="s">
        <v>23</v>
      </c>
      <c r="M62" s="6">
        <v>88</v>
      </c>
      <c r="N62" s="6">
        <v>123</v>
      </c>
      <c r="O62" s="6" t="s">
        <v>829</v>
      </c>
      <c r="P62" s="6">
        <v>151</v>
      </c>
      <c r="Q62" s="6" t="s">
        <v>805</v>
      </c>
      <c r="R62" s="6" t="s">
        <v>23</v>
      </c>
      <c r="S62" s="6" t="str">
        <f t="shared" si="0"/>
        <v>RATS</v>
      </c>
    </row>
    <row r="63" spans="1:19" x14ac:dyDescent="0.25">
      <c r="A63" s="6" t="s">
        <v>418</v>
      </c>
      <c r="B63" s="6">
        <v>109</v>
      </c>
      <c r="C63" s="6" t="s">
        <v>23</v>
      </c>
      <c r="D63" s="6" t="s">
        <v>634</v>
      </c>
      <c r="E63" s="6" t="s">
        <v>694</v>
      </c>
      <c r="F63" s="6" t="s">
        <v>23</v>
      </c>
      <c r="G63" s="6">
        <v>55</v>
      </c>
      <c r="H63" s="6">
        <v>77</v>
      </c>
      <c r="I63" s="15" t="s">
        <v>830</v>
      </c>
      <c r="J63" s="6">
        <v>96</v>
      </c>
      <c r="K63" s="6" t="s">
        <v>831</v>
      </c>
      <c r="L63" s="6" t="s">
        <v>23</v>
      </c>
      <c r="M63" s="6">
        <v>55</v>
      </c>
      <c r="N63" s="6">
        <v>77</v>
      </c>
      <c r="O63" s="6" t="s">
        <v>756</v>
      </c>
      <c r="P63" s="6">
        <v>96</v>
      </c>
      <c r="Q63" s="6" t="s">
        <v>832</v>
      </c>
      <c r="R63" s="6" t="s">
        <v>23</v>
      </c>
      <c r="S63" s="6" t="str">
        <f t="shared" si="0"/>
        <v>RATS</v>
      </c>
    </row>
    <row r="64" spans="1:19" x14ac:dyDescent="0.25">
      <c r="A64" s="6" t="s">
        <v>420</v>
      </c>
      <c r="B64" s="6">
        <v>111</v>
      </c>
      <c r="C64" s="6" t="s">
        <v>23</v>
      </c>
      <c r="D64" s="6" t="s">
        <v>634</v>
      </c>
      <c r="E64" s="6" t="s">
        <v>694</v>
      </c>
      <c r="F64" s="6" t="s">
        <v>23</v>
      </c>
      <c r="G64" s="6">
        <v>56</v>
      </c>
      <c r="H64" s="6">
        <v>78</v>
      </c>
      <c r="I64" s="15" t="s">
        <v>833</v>
      </c>
      <c r="J64" s="6">
        <v>97</v>
      </c>
      <c r="K64" s="6" t="s">
        <v>834</v>
      </c>
      <c r="L64" s="6" t="s">
        <v>23</v>
      </c>
      <c r="M64" s="6">
        <v>56</v>
      </c>
      <c r="N64" s="6">
        <v>78</v>
      </c>
      <c r="O64" s="6" t="s">
        <v>835</v>
      </c>
      <c r="P64" s="6">
        <v>97</v>
      </c>
      <c r="Q64" s="6" t="s">
        <v>836</v>
      </c>
      <c r="R64" s="6" t="s">
        <v>23</v>
      </c>
      <c r="S64" s="6" t="str">
        <f t="shared" si="0"/>
        <v>RATS</v>
      </c>
    </row>
    <row r="65" spans="1:19" x14ac:dyDescent="0.25">
      <c r="A65" s="6" t="s">
        <v>377</v>
      </c>
      <c r="B65" s="6">
        <v>112</v>
      </c>
      <c r="C65" s="6" t="s">
        <v>23</v>
      </c>
      <c r="D65" s="6" t="s">
        <v>634</v>
      </c>
      <c r="E65" s="6" t="s">
        <v>694</v>
      </c>
      <c r="F65" s="6" t="s">
        <v>23</v>
      </c>
      <c r="G65" s="6">
        <v>57</v>
      </c>
      <c r="H65" s="6">
        <v>79</v>
      </c>
      <c r="I65" s="15" t="s">
        <v>837</v>
      </c>
      <c r="J65" s="6">
        <v>98</v>
      </c>
      <c r="K65" s="6" t="s">
        <v>761</v>
      </c>
      <c r="L65" s="6" t="s">
        <v>23</v>
      </c>
      <c r="M65" s="6">
        <v>57</v>
      </c>
      <c r="N65" s="6">
        <v>79</v>
      </c>
      <c r="O65" s="6" t="s">
        <v>830</v>
      </c>
      <c r="P65" s="6">
        <v>98</v>
      </c>
      <c r="Q65" s="6" t="s">
        <v>768</v>
      </c>
      <c r="R65" s="6" t="s">
        <v>23</v>
      </c>
      <c r="S65" s="6" t="str">
        <f t="shared" si="0"/>
        <v>RATS</v>
      </c>
    </row>
    <row r="66" spans="1:19" x14ac:dyDescent="0.25">
      <c r="A66" s="6" t="s">
        <v>380</v>
      </c>
      <c r="B66" s="6">
        <v>113</v>
      </c>
      <c r="C66" s="6" t="s">
        <v>23</v>
      </c>
      <c r="D66" s="6" t="s">
        <v>634</v>
      </c>
      <c r="E66" s="6" t="s">
        <v>694</v>
      </c>
      <c r="F66" s="6" t="s">
        <v>23</v>
      </c>
      <c r="G66" s="6">
        <v>58</v>
      </c>
      <c r="H66" s="6">
        <v>80</v>
      </c>
      <c r="I66" s="15" t="s">
        <v>777</v>
      </c>
      <c r="J66" s="6">
        <v>99</v>
      </c>
      <c r="K66" s="6" t="s">
        <v>838</v>
      </c>
      <c r="L66" s="6" t="s">
        <v>23</v>
      </c>
      <c r="M66" s="6">
        <v>58</v>
      </c>
      <c r="N66" s="6">
        <v>80</v>
      </c>
      <c r="O66" s="6" t="s">
        <v>773</v>
      </c>
      <c r="P66" s="6">
        <v>99</v>
      </c>
      <c r="Q66" s="6" t="s">
        <v>839</v>
      </c>
      <c r="R66" s="6">
        <v>38</v>
      </c>
      <c r="S66" s="6" t="str">
        <f t="shared" si="0"/>
        <v>RATS</v>
      </c>
    </row>
    <row r="67" spans="1:19" x14ac:dyDescent="0.25">
      <c r="A67" s="6" t="s">
        <v>382</v>
      </c>
      <c r="B67" s="6">
        <v>114</v>
      </c>
      <c r="C67" s="6" t="s">
        <v>23</v>
      </c>
      <c r="D67" s="6" t="s">
        <v>634</v>
      </c>
      <c r="E67" s="6" t="s">
        <v>684</v>
      </c>
      <c r="F67" s="6" t="s">
        <v>23</v>
      </c>
      <c r="G67" s="6">
        <v>59</v>
      </c>
      <c r="H67" s="6">
        <v>81</v>
      </c>
      <c r="I67" s="15" t="s">
        <v>840</v>
      </c>
      <c r="J67" s="6">
        <v>100</v>
      </c>
      <c r="K67" s="6" t="s">
        <v>841</v>
      </c>
      <c r="L67" s="6" t="s">
        <v>23</v>
      </c>
      <c r="M67" s="6">
        <v>59</v>
      </c>
      <c r="N67" s="6">
        <v>81</v>
      </c>
      <c r="O67" s="6" t="s">
        <v>761</v>
      </c>
      <c r="P67" s="6">
        <v>100</v>
      </c>
      <c r="Q67" s="6" t="s">
        <v>842</v>
      </c>
      <c r="R67" s="6">
        <v>39</v>
      </c>
      <c r="S67" s="6" t="str">
        <f t="shared" si="0"/>
        <v>RATS</v>
      </c>
    </row>
    <row r="68" spans="1:19" x14ac:dyDescent="0.25">
      <c r="A68" s="6" t="s">
        <v>387</v>
      </c>
      <c r="B68" s="6">
        <v>115</v>
      </c>
      <c r="C68" s="6" t="s">
        <v>23</v>
      </c>
      <c r="D68" s="6" t="s">
        <v>634</v>
      </c>
      <c r="E68" s="6" t="s">
        <v>684</v>
      </c>
      <c r="F68" s="6" t="s">
        <v>23</v>
      </c>
      <c r="G68" s="6">
        <v>60</v>
      </c>
      <c r="H68" s="6">
        <v>82</v>
      </c>
      <c r="I68" s="15" t="s">
        <v>843</v>
      </c>
      <c r="J68" s="6">
        <v>101</v>
      </c>
      <c r="K68" s="6" t="s">
        <v>844</v>
      </c>
      <c r="L68" s="6" t="s">
        <v>23</v>
      </c>
      <c r="M68" s="6">
        <v>60</v>
      </c>
      <c r="N68" s="6">
        <v>82</v>
      </c>
      <c r="O68" s="6" t="s">
        <v>837</v>
      </c>
      <c r="P68" s="6">
        <v>101</v>
      </c>
      <c r="Q68" s="6" t="s">
        <v>831</v>
      </c>
      <c r="R68" s="6" t="s">
        <v>23</v>
      </c>
      <c r="S68" s="6" t="str">
        <f t="shared" si="0"/>
        <v>RATS</v>
      </c>
    </row>
    <row r="69" spans="1:19" x14ac:dyDescent="0.25">
      <c r="A69" s="6" t="s">
        <v>393</v>
      </c>
      <c r="B69" s="6">
        <v>118</v>
      </c>
      <c r="C69" s="6" t="s">
        <v>23</v>
      </c>
      <c r="D69" s="6" t="s">
        <v>634</v>
      </c>
      <c r="E69" s="6" t="s">
        <v>694</v>
      </c>
      <c r="F69" s="6" t="s">
        <v>787</v>
      </c>
      <c r="G69" s="6">
        <v>61</v>
      </c>
      <c r="H69" s="6">
        <v>85</v>
      </c>
      <c r="I69" s="15" t="s">
        <v>845</v>
      </c>
      <c r="J69" s="6">
        <v>104</v>
      </c>
      <c r="K69" s="6" t="s">
        <v>837</v>
      </c>
      <c r="L69" s="6" t="s">
        <v>23</v>
      </c>
      <c r="M69" s="6">
        <v>61</v>
      </c>
      <c r="N69" s="6">
        <v>85</v>
      </c>
      <c r="O69" s="6" t="s">
        <v>840</v>
      </c>
      <c r="P69" s="6">
        <v>104</v>
      </c>
      <c r="Q69" s="6" t="s">
        <v>774</v>
      </c>
      <c r="R69" s="6" t="s">
        <v>23</v>
      </c>
      <c r="S69" s="6" t="str">
        <f t="shared" ref="S69:S132" si="1">IF(O69=I69,"","RATS")</f>
        <v>RATS</v>
      </c>
    </row>
    <row r="70" spans="1:19" x14ac:dyDescent="0.25">
      <c r="A70" s="6" t="s">
        <v>398</v>
      </c>
      <c r="B70" s="6">
        <v>119</v>
      </c>
      <c r="C70" s="6" t="s">
        <v>23</v>
      </c>
      <c r="D70" s="6" t="s">
        <v>634</v>
      </c>
      <c r="E70" s="6" t="s">
        <v>694</v>
      </c>
      <c r="F70" s="6" t="s">
        <v>640</v>
      </c>
      <c r="G70" s="6">
        <v>62</v>
      </c>
      <c r="H70" s="6">
        <v>86</v>
      </c>
      <c r="I70" s="15" t="s">
        <v>846</v>
      </c>
      <c r="J70" s="6">
        <v>105</v>
      </c>
      <c r="K70" s="6" t="s">
        <v>847</v>
      </c>
      <c r="L70" s="6" t="s">
        <v>23</v>
      </c>
      <c r="M70" s="6">
        <v>62</v>
      </c>
      <c r="N70" s="6">
        <v>86</v>
      </c>
      <c r="O70" s="6" t="s">
        <v>833</v>
      </c>
      <c r="P70" s="6">
        <v>105</v>
      </c>
      <c r="Q70" s="6" t="s">
        <v>838</v>
      </c>
      <c r="R70" s="6" t="s">
        <v>23</v>
      </c>
      <c r="S70" s="6" t="str">
        <f t="shared" si="1"/>
        <v>RATS</v>
      </c>
    </row>
    <row r="71" spans="1:19" x14ac:dyDescent="0.25">
      <c r="A71" s="6" t="s">
        <v>422</v>
      </c>
      <c r="B71" s="6">
        <v>190</v>
      </c>
      <c r="C71" s="6" t="s">
        <v>23</v>
      </c>
      <c r="D71" s="6" t="s">
        <v>634</v>
      </c>
      <c r="E71" s="6" t="s">
        <v>694</v>
      </c>
      <c r="F71" s="6" t="s">
        <v>23</v>
      </c>
      <c r="G71" s="6">
        <v>97</v>
      </c>
      <c r="H71" s="6">
        <v>140</v>
      </c>
      <c r="I71" s="15" t="s">
        <v>848</v>
      </c>
      <c r="J71" s="6">
        <v>169</v>
      </c>
      <c r="K71" s="6" t="s">
        <v>729</v>
      </c>
      <c r="L71" s="6" t="s">
        <v>23</v>
      </c>
      <c r="M71" s="6">
        <v>97</v>
      </c>
      <c r="N71" s="6">
        <v>141</v>
      </c>
      <c r="O71" s="6" t="s">
        <v>729</v>
      </c>
      <c r="P71" s="6">
        <v>169</v>
      </c>
      <c r="Q71" s="6" t="s">
        <v>746</v>
      </c>
      <c r="R71" s="6">
        <v>65</v>
      </c>
      <c r="S71" s="6" t="str">
        <f t="shared" si="1"/>
        <v>RATS</v>
      </c>
    </row>
    <row r="72" spans="1:19" x14ac:dyDescent="0.25">
      <c r="A72" s="6" t="s">
        <v>428</v>
      </c>
      <c r="B72" s="6">
        <v>191</v>
      </c>
      <c r="C72" s="6" t="s">
        <v>23</v>
      </c>
      <c r="D72" s="6" t="s">
        <v>634</v>
      </c>
      <c r="E72" s="6" t="s">
        <v>694</v>
      </c>
      <c r="F72" s="6" t="s">
        <v>23</v>
      </c>
      <c r="G72" s="6" t="s">
        <v>23</v>
      </c>
      <c r="H72" s="6">
        <v>141</v>
      </c>
      <c r="I72" s="15" t="s">
        <v>729</v>
      </c>
      <c r="J72" s="6">
        <v>170</v>
      </c>
      <c r="K72" s="6" t="s">
        <v>747</v>
      </c>
      <c r="L72" s="6" t="s">
        <v>23</v>
      </c>
      <c r="M72" s="6" t="s">
        <v>23</v>
      </c>
      <c r="N72" s="6" t="s">
        <v>23</v>
      </c>
      <c r="O72" s="6" t="s">
        <v>848</v>
      </c>
      <c r="P72" s="6">
        <v>170</v>
      </c>
      <c r="Q72" s="6" t="s">
        <v>819</v>
      </c>
      <c r="R72" s="6" t="s">
        <v>23</v>
      </c>
      <c r="S72" s="6" t="str">
        <f t="shared" si="1"/>
        <v>RATS</v>
      </c>
    </row>
    <row r="73" spans="1:19" x14ac:dyDescent="0.25">
      <c r="A73" s="6" t="s">
        <v>453</v>
      </c>
      <c r="B73" s="6">
        <v>1</v>
      </c>
      <c r="C73" s="6" t="s">
        <v>23</v>
      </c>
      <c r="D73" s="6" t="s">
        <v>634</v>
      </c>
      <c r="E73" s="6" t="s">
        <v>694</v>
      </c>
      <c r="F73" s="6" t="s">
        <v>23</v>
      </c>
      <c r="G73" s="6">
        <v>1</v>
      </c>
      <c r="H73" s="6">
        <v>1</v>
      </c>
      <c r="I73" s="15" t="s">
        <v>802</v>
      </c>
      <c r="J73" s="6">
        <v>1</v>
      </c>
      <c r="K73" s="6" t="s">
        <v>715</v>
      </c>
      <c r="L73" s="6" t="s">
        <v>23</v>
      </c>
      <c r="M73" s="6">
        <v>1</v>
      </c>
      <c r="N73" s="6">
        <v>1</v>
      </c>
      <c r="O73" s="6" t="s">
        <v>849</v>
      </c>
      <c r="P73" s="6">
        <v>1</v>
      </c>
      <c r="Q73" s="6" t="s">
        <v>850</v>
      </c>
      <c r="R73" s="6" t="s">
        <v>23</v>
      </c>
      <c r="S73" s="6" t="str">
        <f t="shared" si="1"/>
        <v>RATS</v>
      </c>
    </row>
    <row r="74" spans="1:19" x14ac:dyDescent="0.25">
      <c r="A74" s="6" t="s">
        <v>458</v>
      </c>
      <c r="B74" s="6">
        <v>2</v>
      </c>
      <c r="C74" s="6" t="s">
        <v>851</v>
      </c>
      <c r="D74" s="6" t="s">
        <v>634</v>
      </c>
      <c r="E74" s="6" t="s">
        <v>694</v>
      </c>
      <c r="F74" s="6" t="s">
        <v>23</v>
      </c>
      <c r="G74" s="6">
        <v>2</v>
      </c>
      <c r="H74" s="6">
        <v>2</v>
      </c>
      <c r="I74" s="15" t="s">
        <v>715</v>
      </c>
      <c r="J74" s="6">
        <v>2</v>
      </c>
      <c r="K74" s="6" t="s">
        <v>852</v>
      </c>
      <c r="L74" s="6" t="s">
        <v>23</v>
      </c>
      <c r="M74" s="6">
        <v>2</v>
      </c>
      <c r="N74" s="6">
        <v>2</v>
      </c>
      <c r="O74" s="6" t="s">
        <v>852</v>
      </c>
      <c r="P74" s="6">
        <v>2</v>
      </c>
      <c r="Q74" s="6" t="s">
        <v>849</v>
      </c>
      <c r="R74" s="6" t="s">
        <v>23</v>
      </c>
      <c r="S74" s="6" t="str">
        <f t="shared" si="1"/>
        <v>RATS</v>
      </c>
    </row>
    <row r="75" spans="1:19" x14ac:dyDescent="0.25">
      <c r="A75" s="6" t="s">
        <v>461</v>
      </c>
      <c r="B75" s="6">
        <v>3</v>
      </c>
      <c r="C75" s="6" t="s">
        <v>853</v>
      </c>
      <c r="D75" s="6" t="s">
        <v>634</v>
      </c>
      <c r="E75" s="6" t="s">
        <v>694</v>
      </c>
      <c r="F75" s="6" t="s">
        <v>23</v>
      </c>
      <c r="G75" s="6">
        <v>3</v>
      </c>
      <c r="H75" s="6">
        <v>3</v>
      </c>
      <c r="I75" s="15" t="s">
        <v>854</v>
      </c>
      <c r="J75" s="6">
        <v>3</v>
      </c>
      <c r="K75" s="6" t="s">
        <v>802</v>
      </c>
      <c r="L75" s="6" t="s">
        <v>23</v>
      </c>
      <c r="M75" s="6">
        <v>3</v>
      </c>
      <c r="N75" s="6">
        <v>3</v>
      </c>
      <c r="O75" s="6" t="s">
        <v>715</v>
      </c>
      <c r="P75" s="6">
        <v>3</v>
      </c>
      <c r="Q75" s="6" t="s">
        <v>817</v>
      </c>
      <c r="R75" s="6" t="s">
        <v>23</v>
      </c>
      <c r="S75" s="6" t="str">
        <f t="shared" si="1"/>
        <v>RATS</v>
      </c>
    </row>
    <row r="76" spans="1:19" x14ac:dyDescent="0.25">
      <c r="A76" s="6" t="s">
        <v>464</v>
      </c>
      <c r="B76" s="6">
        <v>4</v>
      </c>
      <c r="C76" s="6" t="s">
        <v>855</v>
      </c>
      <c r="D76" s="6" t="s">
        <v>634</v>
      </c>
      <c r="E76" s="6" t="s">
        <v>694</v>
      </c>
      <c r="F76" s="6" t="s">
        <v>23</v>
      </c>
      <c r="G76" s="6">
        <v>4</v>
      </c>
      <c r="H76" s="6">
        <v>4</v>
      </c>
      <c r="I76" s="15" t="s">
        <v>856</v>
      </c>
      <c r="J76" s="6">
        <v>4</v>
      </c>
      <c r="K76" s="6" t="s">
        <v>854</v>
      </c>
      <c r="L76" s="6" t="s">
        <v>23</v>
      </c>
      <c r="M76" s="6">
        <v>4</v>
      </c>
      <c r="N76" s="6">
        <v>4</v>
      </c>
      <c r="O76" s="6" t="s">
        <v>856</v>
      </c>
      <c r="P76" s="6">
        <v>4</v>
      </c>
      <c r="Q76" s="6" t="s">
        <v>852</v>
      </c>
      <c r="R76" s="6" t="s">
        <v>23</v>
      </c>
      <c r="S76" s="6" t="str">
        <f t="shared" si="1"/>
        <v/>
      </c>
    </row>
    <row r="77" spans="1:19" x14ac:dyDescent="0.25">
      <c r="A77" s="6" t="s">
        <v>467</v>
      </c>
      <c r="B77" s="6">
        <v>5</v>
      </c>
      <c r="C77" s="6" t="s">
        <v>857</v>
      </c>
      <c r="D77" s="6" t="s">
        <v>634</v>
      </c>
      <c r="E77" s="6" t="s">
        <v>694</v>
      </c>
      <c r="F77" s="6" t="s">
        <v>23</v>
      </c>
      <c r="G77" s="6">
        <v>5</v>
      </c>
      <c r="H77" s="6">
        <v>5</v>
      </c>
      <c r="I77" s="15" t="s">
        <v>816</v>
      </c>
      <c r="J77" s="6">
        <v>5</v>
      </c>
      <c r="K77" s="6" t="s">
        <v>856</v>
      </c>
      <c r="L77" s="6" t="s">
        <v>23</v>
      </c>
      <c r="M77" s="6">
        <v>5</v>
      </c>
      <c r="N77" s="6">
        <v>5</v>
      </c>
      <c r="O77" s="6" t="s">
        <v>854</v>
      </c>
      <c r="P77" s="6">
        <v>5</v>
      </c>
      <c r="Q77" s="6" t="s">
        <v>858</v>
      </c>
      <c r="R77" s="6" t="s">
        <v>23</v>
      </c>
      <c r="S77" s="6" t="str">
        <f t="shared" si="1"/>
        <v>RATS</v>
      </c>
    </row>
    <row r="78" spans="1:19" x14ac:dyDescent="0.25">
      <c r="A78" s="6" t="s">
        <v>470</v>
      </c>
      <c r="B78" s="6">
        <v>77</v>
      </c>
      <c r="C78" s="6" t="s">
        <v>23</v>
      </c>
      <c r="D78" s="6" t="s">
        <v>634</v>
      </c>
      <c r="E78" s="6" t="s">
        <v>659</v>
      </c>
      <c r="F78" s="6" t="s">
        <v>859</v>
      </c>
      <c r="G78" s="6">
        <v>35</v>
      </c>
      <c r="H78" s="6">
        <v>55</v>
      </c>
      <c r="I78" s="15" t="s">
        <v>673</v>
      </c>
      <c r="J78" s="6">
        <v>65</v>
      </c>
      <c r="K78" s="6" t="s">
        <v>666</v>
      </c>
      <c r="L78" s="6" t="s">
        <v>23</v>
      </c>
      <c r="M78" s="6">
        <v>38</v>
      </c>
      <c r="N78" s="6">
        <v>58</v>
      </c>
      <c r="O78" s="6" t="s">
        <v>860</v>
      </c>
      <c r="P78" s="6">
        <v>68</v>
      </c>
      <c r="Q78" s="6" t="s">
        <v>861</v>
      </c>
      <c r="R78" s="6" t="s">
        <v>23</v>
      </c>
      <c r="S78" s="6" t="str">
        <f t="shared" si="1"/>
        <v>RATS</v>
      </c>
    </row>
    <row r="79" spans="1:19" x14ac:dyDescent="0.25">
      <c r="A79" s="6" t="s">
        <v>472</v>
      </c>
      <c r="B79" s="6">
        <v>78</v>
      </c>
      <c r="C79" s="6" t="s">
        <v>23</v>
      </c>
      <c r="D79" s="6" t="s">
        <v>634</v>
      </c>
      <c r="E79" s="6" t="s">
        <v>659</v>
      </c>
      <c r="F79" s="6" t="s">
        <v>662</v>
      </c>
      <c r="G79" s="6">
        <v>36</v>
      </c>
      <c r="H79" s="6">
        <v>56</v>
      </c>
      <c r="I79" s="15" t="s">
        <v>862</v>
      </c>
      <c r="J79" s="6">
        <v>66</v>
      </c>
      <c r="K79" s="6" t="s">
        <v>863</v>
      </c>
      <c r="L79" s="6" t="s">
        <v>23</v>
      </c>
      <c r="M79" s="6">
        <v>39</v>
      </c>
      <c r="N79" s="6">
        <v>59</v>
      </c>
      <c r="O79" s="6" t="s">
        <v>780</v>
      </c>
      <c r="P79" s="6">
        <v>69</v>
      </c>
      <c r="Q79" s="6" t="s">
        <v>864</v>
      </c>
      <c r="R79" s="6" t="s">
        <v>23</v>
      </c>
      <c r="S79" s="6" t="str">
        <f t="shared" si="1"/>
        <v>RATS</v>
      </c>
    </row>
    <row r="80" spans="1:19" x14ac:dyDescent="0.25">
      <c r="A80" s="6" t="s">
        <v>475</v>
      </c>
      <c r="B80" s="6">
        <v>79</v>
      </c>
      <c r="C80" s="6" t="s">
        <v>23</v>
      </c>
      <c r="D80" s="6" t="s">
        <v>634</v>
      </c>
      <c r="E80" s="6" t="s">
        <v>659</v>
      </c>
      <c r="F80" s="6" t="s">
        <v>721</v>
      </c>
      <c r="G80" s="6">
        <v>37</v>
      </c>
      <c r="H80" s="6">
        <v>57</v>
      </c>
      <c r="I80" s="15" t="s">
        <v>860</v>
      </c>
      <c r="J80" s="6">
        <v>67</v>
      </c>
      <c r="K80" s="6" t="s">
        <v>865</v>
      </c>
      <c r="L80" s="6" t="s">
        <v>23</v>
      </c>
      <c r="M80" s="6">
        <v>40</v>
      </c>
      <c r="N80" s="6">
        <v>60</v>
      </c>
      <c r="O80" s="6" t="s">
        <v>866</v>
      </c>
      <c r="P80" s="6">
        <v>70</v>
      </c>
      <c r="Q80" s="6" t="s">
        <v>863</v>
      </c>
      <c r="R80" s="6" t="s">
        <v>23</v>
      </c>
      <c r="S80" s="6" t="str">
        <f t="shared" si="1"/>
        <v>RATS</v>
      </c>
    </row>
    <row r="81" spans="1:19" x14ac:dyDescent="0.25">
      <c r="A81" s="6" t="s">
        <v>430</v>
      </c>
      <c r="B81" s="6">
        <v>82</v>
      </c>
      <c r="C81" s="6" t="s">
        <v>23</v>
      </c>
      <c r="D81" s="6" t="s">
        <v>634</v>
      </c>
      <c r="E81" s="6" t="s">
        <v>659</v>
      </c>
      <c r="F81" s="6" t="s">
        <v>667</v>
      </c>
      <c r="G81" s="6">
        <v>38</v>
      </c>
      <c r="H81" s="6">
        <v>60</v>
      </c>
      <c r="I81" s="15" t="s">
        <v>866</v>
      </c>
      <c r="J81" s="6">
        <v>70</v>
      </c>
      <c r="K81" s="6" t="s">
        <v>867</v>
      </c>
      <c r="L81" s="6" t="s">
        <v>23</v>
      </c>
      <c r="M81" s="6">
        <v>41</v>
      </c>
      <c r="N81" s="6">
        <v>63</v>
      </c>
      <c r="O81" s="6" t="s">
        <v>777</v>
      </c>
      <c r="P81" s="6">
        <v>73</v>
      </c>
      <c r="Q81" s="6" t="s">
        <v>666</v>
      </c>
      <c r="R81" s="6" t="s">
        <v>23</v>
      </c>
      <c r="S81" s="6" t="str">
        <f t="shared" si="1"/>
        <v>RATS</v>
      </c>
    </row>
    <row r="82" spans="1:19" x14ac:dyDescent="0.25">
      <c r="A82" s="6" t="s">
        <v>435</v>
      </c>
      <c r="B82" s="6">
        <v>83</v>
      </c>
      <c r="C82" s="6" t="s">
        <v>23</v>
      </c>
      <c r="D82" s="6" t="s">
        <v>634</v>
      </c>
      <c r="E82" s="6" t="s">
        <v>659</v>
      </c>
      <c r="F82" s="6" t="s">
        <v>23</v>
      </c>
      <c r="G82" s="6">
        <v>39</v>
      </c>
      <c r="H82" s="6">
        <v>61</v>
      </c>
      <c r="I82" s="15" t="s">
        <v>656</v>
      </c>
      <c r="J82" s="6">
        <v>71</v>
      </c>
      <c r="K82" s="6" t="s">
        <v>868</v>
      </c>
      <c r="L82" s="6" t="s">
        <v>23</v>
      </c>
      <c r="M82" s="6">
        <v>42</v>
      </c>
      <c r="N82" s="6">
        <v>64</v>
      </c>
      <c r="O82" s="6" t="s">
        <v>656</v>
      </c>
      <c r="P82" s="6">
        <v>74</v>
      </c>
      <c r="Q82" s="6" t="s">
        <v>868</v>
      </c>
      <c r="R82" s="6" t="s">
        <v>23</v>
      </c>
      <c r="S82" s="6" t="str">
        <f t="shared" si="1"/>
        <v/>
      </c>
    </row>
    <row r="83" spans="1:19" x14ac:dyDescent="0.25">
      <c r="A83" s="6" t="s">
        <v>439</v>
      </c>
      <c r="B83" s="6">
        <v>84</v>
      </c>
      <c r="C83" s="6" t="s">
        <v>23</v>
      </c>
      <c r="D83" s="6" t="s">
        <v>634</v>
      </c>
      <c r="E83" s="6" t="s">
        <v>694</v>
      </c>
      <c r="F83" s="6" t="s">
        <v>23</v>
      </c>
      <c r="G83" s="6">
        <v>40</v>
      </c>
      <c r="H83" s="6">
        <v>62</v>
      </c>
      <c r="I83" s="15" t="s">
        <v>753</v>
      </c>
      <c r="J83" s="6">
        <v>72</v>
      </c>
      <c r="K83" s="6" t="s">
        <v>869</v>
      </c>
      <c r="L83" s="6" t="s">
        <v>23</v>
      </c>
      <c r="M83" s="6">
        <v>43</v>
      </c>
      <c r="N83" s="6">
        <v>65</v>
      </c>
      <c r="O83" s="6" t="s">
        <v>643</v>
      </c>
      <c r="P83" s="6">
        <v>75</v>
      </c>
      <c r="Q83" s="6" t="s">
        <v>867</v>
      </c>
      <c r="R83" s="6" t="s">
        <v>23</v>
      </c>
      <c r="S83" s="6" t="str">
        <f t="shared" si="1"/>
        <v>RATS</v>
      </c>
    </row>
    <row r="84" spans="1:19" x14ac:dyDescent="0.25">
      <c r="A84" s="6" t="s">
        <v>442</v>
      </c>
      <c r="B84" s="6">
        <v>85</v>
      </c>
      <c r="C84" s="6" t="s">
        <v>23</v>
      </c>
      <c r="D84" s="6" t="s">
        <v>634</v>
      </c>
      <c r="E84" s="6" t="s">
        <v>694</v>
      </c>
      <c r="F84" s="6" t="s">
        <v>23</v>
      </c>
      <c r="G84" s="6">
        <v>41</v>
      </c>
      <c r="H84" s="6">
        <v>63</v>
      </c>
      <c r="I84" s="15" t="s">
        <v>643</v>
      </c>
      <c r="J84" s="6">
        <v>73</v>
      </c>
      <c r="K84" s="6" t="s">
        <v>870</v>
      </c>
      <c r="L84" s="6" t="s">
        <v>23</v>
      </c>
      <c r="M84" s="6">
        <v>44</v>
      </c>
      <c r="N84" s="6">
        <v>66</v>
      </c>
      <c r="O84" s="6" t="s">
        <v>786</v>
      </c>
      <c r="P84" s="6">
        <v>76</v>
      </c>
      <c r="Q84" s="6" t="s">
        <v>871</v>
      </c>
      <c r="R84" s="6" t="s">
        <v>23</v>
      </c>
      <c r="S84" s="6" t="str">
        <f t="shared" si="1"/>
        <v>RATS</v>
      </c>
    </row>
    <row r="85" spans="1:19" x14ac:dyDescent="0.25">
      <c r="A85" s="6" t="s">
        <v>446</v>
      </c>
      <c r="B85" s="6">
        <v>86</v>
      </c>
      <c r="C85" s="6" t="s">
        <v>23</v>
      </c>
      <c r="D85" s="6" t="s">
        <v>634</v>
      </c>
      <c r="E85" s="6" t="s">
        <v>694</v>
      </c>
      <c r="F85" s="6" t="s">
        <v>23</v>
      </c>
      <c r="G85" s="6">
        <v>42</v>
      </c>
      <c r="H85" s="6">
        <v>64</v>
      </c>
      <c r="I85" s="15" t="s">
        <v>835</v>
      </c>
      <c r="J85" s="6">
        <v>74</v>
      </c>
      <c r="K85" s="6" t="s">
        <v>872</v>
      </c>
      <c r="L85" s="6" t="s">
        <v>23</v>
      </c>
      <c r="M85" s="6">
        <v>45</v>
      </c>
      <c r="N85" s="6">
        <v>67</v>
      </c>
      <c r="O85" s="6" t="s">
        <v>862</v>
      </c>
      <c r="P85" s="6">
        <v>77</v>
      </c>
      <c r="Q85" s="6" t="s">
        <v>870</v>
      </c>
      <c r="R85" s="6" t="s">
        <v>23</v>
      </c>
      <c r="S85" s="6" t="str">
        <f t="shared" si="1"/>
        <v>RATS</v>
      </c>
    </row>
    <row r="86" spans="1:19" x14ac:dyDescent="0.25">
      <c r="A86" s="6" t="s">
        <v>450</v>
      </c>
      <c r="B86" s="6">
        <v>87</v>
      </c>
      <c r="C86" s="6" t="s">
        <v>23</v>
      </c>
      <c r="D86" s="6" t="s">
        <v>634</v>
      </c>
      <c r="E86" s="6" t="s">
        <v>694</v>
      </c>
      <c r="F86" s="6" t="s">
        <v>23</v>
      </c>
      <c r="G86" s="6">
        <v>43</v>
      </c>
      <c r="H86" s="6">
        <v>65</v>
      </c>
      <c r="I86" s="15" t="s">
        <v>786</v>
      </c>
      <c r="J86" s="6">
        <v>75</v>
      </c>
      <c r="K86" s="6" t="s">
        <v>871</v>
      </c>
      <c r="L86" s="6" t="s">
        <v>23</v>
      </c>
      <c r="M86" s="6">
        <v>46</v>
      </c>
      <c r="N86" s="6">
        <v>68</v>
      </c>
      <c r="O86" s="6" t="s">
        <v>865</v>
      </c>
      <c r="P86" s="6">
        <v>78</v>
      </c>
      <c r="Q86" s="6" t="s">
        <v>869</v>
      </c>
      <c r="R86" s="6" t="s">
        <v>23</v>
      </c>
      <c r="S86" s="6" t="str">
        <f t="shared" si="1"/>
        <v>RATS</v>
      </c>
    </row>
    <row r="87" spans="1:19" x14ac:dyDescent="0.25">
      <c r="A87" s="6" t="s">
        <v>480</v>
      </c>
      <c r="B87" s="6">
        <v>20</v>
      </c>
      <c r="C87" s="6" t="s">
        <v>23</v>
      </c>
      <c r="D87" s="6" t="s">
        <v>634</v>
      </c>
      <c r="E87" s="6" t="s">
        <v>739</v>
      </c>
      <c r="F87" s="6" t="s">
        <v>23</v>
      </c>
      <c r="G87" s="6" t="s">
        <v>23</v>
      </c>
      <c r="H87" s="6">
        <v>10</v>
      </c>
      <c r="I87" s="15" t="s">
        <v>873</v>
      </c>
      <c r="J87" s="6">
        <v>16</v>
      </c>
      <c r="K87" s="6" t="s">
        <v>801</v>
      </c>
      <c r="L87" s="6" t="s">
        <v>23</v>
      </c>
      <c r="M87" s="6" t="s">
        <v>23</v>
      </c>
      <c r="N87" s="6">
        <v>10</v>
      </c>
      <c r="O87" s="6" t="s">
        <v>874</v>
      </c>
      <c r="P87" s="6">
        <v>16</v>
      </c>
      <c r="Q87" s="6" t="s">
        <v>873</v>
      </c>
      <c r="R87" s="6" t="s">
        <v>23</v>
      </c>
      <c r="S87" s="6" t="str">
        <f t="shared" si="1"/>
        <v>RATS</v>
      </c>
    </row>
    <row r="88" spans="1:19" x14ac:dyDescent="0.25">
      <c r="A88" s="6" t="s">
        <v>483</v>
      </c>
      <c r="B88" s="6">
        <v>21</v>
      </c>
      <c r="C88" s="6" t="s">
        <v>23</v>
      </c>
      <c r="D88" s="6" t="s">
        <v>634</v>
      </c>
      <c r="E88" s="6" t="s">
        <v>739</v>
      </c>
      <c r="F88" s="6" t="s">
        <v>23</v>
      </c>
      <c r="G88" s="6" t="s">
        <v>23</v>
      </c>
      <c r="H88" s="6">
        <v>11</v>
      </c>
      <c r="I88" s="15" t="s">
        <v>874</v>
      </c>
      <c r="J88" s="6">
        <v>17</v>
      </c>
      <c r="K88" s="6" t="s">
        <v>875</v>
      </c>
      <c r="L88" s="6" t="s">
        <v>23</v>
      </c>
      <c r="M88" s="6" t="s">
        <v>23</v>
      </c>
      <c r="N88" s="6">
        <v>11</v>
      </c>
      <c r="O88" s="6" t="s">
        <v>699</v>
      </c>
      <c r="P88" s="6">
        <v>17</v>
      </c>
      <c r="Q88" s="6" t="s">
        <v>637</v>
      </c>
      <c r="R88" s="6" t="s">
        <v>23</v>
      </c>
      <c r="S88" s="6" t="str">
        <f t="shared" si="1"/>
        <v>RATS</v>
      </c>
    </row>
    <row r="89" spans="1:19" x14ac:dyDescent="0.25">
      <c r="A89" s="6" t="s">
        <v>505</v>
      </c>
      <c r="B89" s="6">
        <v>22</v>
      </c>
      <c r="C89" s="6" t="s">
        <v>23</v>
      </c>
      <c r="D89" s="6" t="s">
        <v>634</v>
      </c>
      <c r="E89" s="6" t="s">
        <v>694</v>
      </c>
      <c r="F89" s="6" t="s">
        <v>23</v>
      </c>
      <c r="G89" s="6" t="s">
        <v>23</v>
      </c>
      <c r="H89" s="6">
        <v>12</v>
      </c>
      <c r="I89" s="15" t="s">
        <v>707</v>
      </c>
      <c r="J89" s="6">
        <v>18</v>
      </c>
      <c r="K89" s="6" t="s">
        <v>685</v>
      </c>
      <c r="L89" s="6" t="s">
        <v>23</v>
      </c>
      <c r="M89" s="6" t="s">
        <v>23</v>
      </c>
      <c r="N89" s="6">
        <v>12</v>
      </c>
      <c r="O89" s="6" t="s">
        <v>801</v>
      </c>
      <c r="P89" s="6">
        <v>18</v>
      </c>
      <c r="Q89" s="6" t="s">
        <v>876</v>
      </c>
      <c r="R89" s="6" t="s">
        <v>23</v>
      </c>
      <c r="S89" s="6" t="str">
        <f t="shared" si="1"/>
        <v>RATS</v>
      </c>
    </row>
    <row r="90" spans="1:19" x14ac:dyDescent="0.25">
      <c r="A90" s="6" t="s">
        <v>508</v>
      </c>
      <c r="B90" s="6">
        <v>23</v>
      </c>
      <c r="C90" s="6" t="s">
        <v>23</v>
      </c>
      <c r="D90" s="6" t="s">
        <v>634</v>
      </c>
      <c r="E90" s="6" t="s">
        <v>694</v>
      </c>
      <c r="F90" s="6" t="s">
        <v>23</v>
      </c>
      <c r="G90" s="6" t="s">
        <v>23</v>
      </c>
      <c r="H90" s="6">
        <v>13</v>
      </c>
      <c r="I90" s="15" t="s">
        <v>877</v>
      </c>
      <c r="J90" s="6">
        <v>19</v>
      </c>
      <c r="K90" s="6" t="s">
        <v>878</v>
      </c>
      <c r="L90" s="6" t="s">
        <v>23</v>
      </c>
      <c r="M90" s="6" t="s">
        <v>23</v>
      </c>
      <c r="N90" s="6">
        <v>13</v>
      </c>
      <c r="O90" s="6" t="s">
        <v>744</v>
      </c>
      <c r="P90" s="6">
        <v>19</v>
      </c>
      <c r="Q90" s="6" t="s">
        <v>778</v>
      </c>
      <c r="R90" s="6" t="s">
        <v>23</v>
      </c>
      <c r="S90" s="6" t="str">
        <f t="shared" si="1"/>
        <v>RATS</v>
      </c>
    </row>
    <row r="91" spans="1:19" x14ac:dyDescent="0.25">
      <c r="A91" s="6" t="s">
        <v>511</v>
      </c>
      <c r="B91" s="6">
        <v>24</v>
      </c>
      <c r="C91" s="6" t="s">
        <v>23</v>
      </c>
      <c r="D91" s="6" t="s">
        <v>634</v>
      </c>
      <c r="E91" s="6" t="s">
        <v>694</v>
      </c>
      <c r="F91" s="6" t="s">
        <v>23</v>
      </c>
      <c r="G91" s="6" t="s">
        <v>23</v>
      </c>
      <c r="H91" s="6">
        <v>14</v>
      </c>
      <c r="I91" s="15" t="s">
        <v>695</v>
      </c>
      <c r="J91" s="6">
        <v>20</v>
      </c>
      <c r="K91" s="6" t="s">
        <v>879</v>
      </c>
      <c r="L91" s="6" t="s">
        <v>23</v>
      </c>
      <c r="M91" s="6" t="s">
        <v>23</v>
      </c>
      <c r="N91" s="6">
        <v>14</v>
      </c>
      <c r="O91" s="6" t="s">
        <v>875</v>
      </c>
      <c r="P91" s="6">
        <v>20</v>
      </c>
      <c r="Q91" s="6" t="s">
        <v>781</v>
      </c>
      <c r="R91" s="6" t="s">
        <v>23</v>
      </c>
      <c r="S91" s="6" t="str">
        <f t="shared" si="1"/>
        <v>RATS</v>
      </c>
    </row>
    <row r="92" spans="1:19" x14ac:dyDescent="0.25">
      <c r="A92" s="6" t="s">
        <v>513</v>
      </c>
      <c r="B92" s="6">
        <v>25</v>
      </c>
      <c r="C92" s="6" t="s">
        <v>23</v>
      </c>
      <c r="D92" s="6" t="s">
        <v>634</v>
      </c>
      <c r="E92" s="6" t="s">
        <v>684</v>
      </c>
      <c r="F92" s="6" t="s">
        <v>23</v>
      </c>
      <c r="G92" s="6" t="s">
        <v>23</v>
      </c>
      <c r="H92" s="6">
        <v>15</v>
      </c>
      <c r="I92" s="15" t="s">
        <v>685</v>
      </c>
      <c r="J92" s="6">
        <v>21</v>
      </c>
      <c r="K92" s="6" t="s">
        <v>637</v>
      </c>
      <c r="L92" s="6" t="s">
        <v>23</v>
      </c>
      <c r="M92" s="6" t="s">
        <v>23</v>
      </c>
      <c r="N92" s="6">
        <v>15</v>
      </c>
      <c r="O92" s="6" t="s">
        <v>730</v>
      </c>
      <c r="P92" s="6">
        <v>21</v>
      </c>
      <c r="Q92" s="6" t="s">
        <v>638</v>
      </c>
      <c r="R92" s="6" t="s">
        <v>23</v>
      </c>
      <c r="S92" s="6" t="str">
        <f t="shared" si="1"/>
        <v>RATS</v>
      </c>
    </row>
    <row r="93" spans="1:19" x14ac:dyDescent="0.25">
      <c r="A93" s="6" t="s">
        <v>515</v>
      </c>
      <c r="B93" s="6">
        <v>28</v>
      </c>
      <c r="C93" s="6" t="s">
        <v>23</v>
      </c>
      <c r="D93" s="6" t="s">
        <v>634</v>
      </c>
      <c r="E93" s="6" t="s">
        <v>694</v>
      </c>
      <c r="F93" s="6" t="s">
        <v>23</v>
      </c>
      <c r="G93" s="6" t="s">
        <v>23</v>
      </c>
      <c r="H93" s="6">
        <v>18</v>
      </c>
      <c r="I93" s="15" t="s">
        <v>780</v>
      </c>
      <c r="J93" s="6">
        <v>24</v>
      </c>
      <c r="K93" s="6" t="s">
        <v>880</v>
      </c>
      <c r="L93" s="6" t="s">
        <v>23</v>
      </c>
      <c r="M93" s="6" t="s">
        <v>23</v>
      </c>
      <c r="N93" s="6">
        <v>18</v>
      </c>
      <c r="O93" s="6" t="s">
        <v>881</v>
      </c>
      <c r="P93" s="6">
        <v>24</v>
      </c>
      <c r="Q93" s="6" t="s">
        <v>787</v>
      </c>
      <c r="R93" s="6" t="s">
        <v>23</v>
      </c>
      <c r="S93" s="6" t="str">
        <f t="shared" si="1"/>
        <v>RATS</v>
      </c>
    </row>
    <row r="94" spans="1:19" x14ac:dyDescent="0.25">
      <c r="A94" s="6" t="s">
        <v>518</v>
      </c>
      <c r="B94" s="6">
        <v>29</v>
      </c>
      <c r="C94" s="6" t="s">
        <v>23</v>
      </c>
      <c r="D94" s="6" t="s">
        <v>634</v>
      </c>
      <c r="E94" s="6" t="s">
        <v>694</v>
      </c>
      <c r="F94" s="6" t="s">
        <v>23</v>
      </c>
      <c r="G94" s="6" t="s">
        <v>23</v>
      </c>
      <c r="H94" s="6">
        <v>19</v>
      </c>
      <c r="I94" s="15" t="s">
        <v>875</v>
      </c>
      <c r="J94" s="6">
        <v>25</v>
      </c>
      <c r="K94" s="6" t="s">
        <v>787</v>
      </c>
      <c r="L94" s="6" t="s">
        <v>23</v>
      </c>
      <c r="M94" s="6" t="s">
        <v>23</v>
      </c>
      <c r="N94" s="6">
        <v>19</v>
      </c>
      <c r="O94" s="6" t="s">
        <v>685</v>
      </c>
      <c r="P94" s="6">
        <v>25</v>
      </c>
      <c r="Q94" s="6" t="s">
        <v>784</v>
      </c>
      <c r="R94" s="6" t="s">
        <v>23</v>
      </c>
      <c r="S94" s="6" t="str">
        <f t="shared" si="1"/>
        <v>RATS</v>
      </c>
    </row>
    <row r="95" spans="1:19" x14ac:dyDescent="0.25">
      <c r="A95" s="6" t="s">
        <v>522</v>
      </c>
      <c r="B95" s="6">
        <v>30</v>
      </c>
      <c r="C95" s="6" t="s">
        <v>23</v>
      </c>
      <c r="D95" s="6" t="s">
        <v>634</v>
      </c>
      <c r="E95" s="6" t="s">
        <v>694</v>
      </c>
      <c r="F95" s="6" t="s">
        <v>23</v>
      </c>
      <c r="G95" s="6" t="s">
        <v>23</v>
      </c>
      <c r="H95" s="6">
        <v>20</v>
      </c>
      <c r="I95" s="15" t="s">
        <v>881</v>
      </c>
      <c r="J95" s="6">
        <v>26</v>
      </c>
      <c r="K95" s="6" t="s">
        <v>876</v>
      </c>
      <c r="L95" s="6" t="s">
        <v>23</v>
      </c>
      <c r="M95" s="6" t="s">
        <v>23</v>
      </c>
      <c r="N95" s="6">
        <v>20</v>
      </c>
      <c r="O95" s="6" t="s">
        <v>695</v>
      </c>
      <c r="P95" s="6">
        <v>26</v>
      </c>
      <c r="Q95" s="6" t="s">
        <v>651</v>
      </c>
      <c r="R95" s="6" t="s">
        <v>23</v>
      </c>
      <c r="S95" s="6" t="str">
        <f t="shared" si="1"/>
        <v>RATS</v>
      </c>
    </row>
    <row r="96" spans="1:19" x14ac:dyDescent="0.25">
      <c r="A96" s="6" t="s">
        <v>526</v>
      </c>
      <c r="B96" s="6">
        <v>31</v>
      </c>
      <c r="C96" s="6" t="s">
        <v>23</v>
      </c>
      <c r="D96" s="6" t="s">
        <v>634</v>
      </c>
      <c r="E96" s="6" t="s">
        <v>694</v>
      </c>
      <c r="F96" s="6" t="s">
        <v>23</v>
      </c>
      <c r="G96" s="6" t="s">
        <v>23</v>
      </c>
      <c r="H96" s="6">
        <v>21</v>
      </c>
      <c r="I96" s="15" t="s">
        <v>878</v>
      </c>
      <c r="J96" s="6">
        <v>27</v>
      </c>
      <c r="K96" s="6" t="s">
        <v>781</v>
      </c>
      <c r="L96" s="6" t="s">
        <v>23</v>
      </c>
      <c r="M96" s="6" t="s">
        <v>23</v>
      </c>
      <c r="N96" s="6">
        <v>21</v>
      </c>
      <c r="O96" s="6" t="s">
        <v>637</v>
      </c>
      <c r="P96" s="6">
        <v>27</v>
      </c>
      <c r="Q96" s="6" t="s">
        <v>782</v>
      </c>
      <c r="R96" s="6" t="s">
        <v>23</v>
      </c>
      <c r="S96" s="6" t="str">
        <f t="shared" si="1"/>
        <v>RATS</v>
      </c>
    </row>
    <row r="97" spans="1:19" x14ac:dyDescent="0.25">
      <c r="A97" s="6" t="s">
        <v>486</v>
      </c>
      <c r="B97" s="6">
        <v>32</v>
      </c>
      <c r="C97" s="6" t="s">
        <v>23</v>
      </c>
      <c r="D97" s="6" t="s">
        <v>634</v>
      </c>
      <c r="E97" s="6" t="s">
        <v>694</v>
      </c>
      <c r="F97" s="6" t="s">
        <v>23</v>
      </c>
      <c r="G97" s="6" t="s">
        <v>23</v>
      </c>
      <c r="H97" s="6">
        <v>22</v>
      </c>
      <c r="I97" s="15" t="s">
        <v>639</v>
      </c>
      <c r="J97" s="6" t="s">
        <v>23</v>
      </c>
      <c r="K97" s="6" t="s">
        <v>645</v>
      </c>
      <c r="L97" s="6" t="s">
        <v>23</v>
      </c>
      <c r="M97" s="6" t="s">
        <v>23</v>
      </c>
      <c r="N97" s="6">
        <v>22</v>
      </c>
      <c r="O97" s="6" t="s">
        <v>877</v>
      </c>
      <c r="P97" s="6">
        <v>28</v>
      </c>
      <c r="Q97" s="6" t="s">
        <v>772</v>
      </c>
      <c r="R97" s="6" t="s">
        <v>23</v>
      </c>
      <c r="S97" s="6" t="str">
        <f t="shared" si="1"/>
        <v>RATS</v>
      </c>
    </row>
    <row r="98" spans="1:19" x14ac:dyDescent="0.25">
      <c r="A98" s="6" t="s">
        <v>487</v>
      </c>
      <c r="B98" s="6">
        <v>68</v>
      </c>
      <c r="C98" s="6" t="s">
        <v>882</v>
      </c>
      <c r="D98" s="6" t="s">
        <v>634</v>
      </c>
      <c r="E98" s="6" t="s">
        <v>659</v>
      </c>
      <c r="F98" s="6" t="s">
        <v>23</v>
      </c>
      <c r="G98" s="6" t="s">
        <v>23</v>
      </c>
      <c r="H98" s="6">
        <v>46</v>
      </c>
      <c r="I98" s="15" t="s">
        <v>883</v>
      </c>
      <c r="J98" s="6">
        <v>56</v>
      </c>
      <c r="K98" s="6" t="s">
        <v>884</v>
      </c>
      <c r="L98" s="6" t="s">
        <v>23</v>
      </c>
      <c r="M98" s="6" t="s">
        <v>23</v>
      </c>
      <c r="N98" s="6">
        <v>49</v>
      </c>
      <c r="O98" s="6" t="s">
        <v>883</v>
      </c>
      <c r="P98" s="6">
        <v>59</v>
      </c>
      <c r="Q98" s="6" t="s">
        <v>884</v>
      </c>
      <c r="R98" s="6" t="s">
        <v>23</v>
      </c>
      <c r="S98" s="6" t="str">
        <f t="shared" si="1"/>
        <v/>
      </c>
    </row>
    <row r="99" spans="1:19" x14ac:dyDescent="0.25">
      <c r="A99" s="6" t="s">
        <v>492</v>
      </c>
      <c r="B99" s="6">
        <v>69</v>
      </c>
      <c r="C99" s="6" t="s">
        <v>885</v>
      </c>
      <c r="D99" s="6" t="s">
        <v>634</v>
      </c>
      <c r="E99" s="6" t="s">
        <v>659</v>
      </c>
      <c r="F99" s="6" t="s">
        <v>23</v>
      </c>
      <c r="G99" s="6" t="s">
        <v>23</v>
      </c>
      <c r="H99" s="6">
        <v>47</v>
      </c>
      <c r="I99" s="15" t="s">
        <v>681</v>
      </c>
      <c r="J99" s="6">
        <v>57</v>
      </c>
      <c r="K99" s="6" t="s">
        <v>790</v>
      </c>
      <c r="L99" s="6" t="s">
        <v>23</v>
      </c>
      <c r="M99" s="6" t="s">
        <v>23</v>
      </c>
      <c r="N99" s="6">
        <v>50</v>
      </c>
      <c r="O99" s="6" t="s">
        <v>725</v>
      </c>
      <c r="P99" s="6">
        <v>60</v>
      </c>
      <c r="Q99" s="6" t="s">
        <v>724</v>
      </c>
      <c r="R99" s="6" t="s">
        <v>23</v>
      </c>
      <c r="S99" s="6" t="str">
        <f t="shared" si="1"/>
        <v>RATS</v>
      </c>
    </row>
    <row r="100" spans="1:19" x14ac:dyDescent="0.25">
      <c r="A100" s="6" t="s">
        <v>496</v>
      </c>
      <c r="B100" s="6">
        <v>72</v>
      </c>
      <c r="C100" s="6" t="s">
        <v>886</v>
      </c>
      <c r="D100" s="6" t="s">
        <v>634</v>
      </c>
      <c r="E100" s="6" t="s">
        <v>659</v>
      </c>
      <c r="F100" s="6" t="s">
        <v>23</v>
      </c>
      <c r="G100" s="6" t="s">
        <v>23</v>
      </c>
      <c r="H100" s="6">
        <v>50</v>
      </c>
      <c r="I100" s="15" t="s">
        <v>887</v>
      </c>
      <c r="J100" s="6">
        <v>60</v>
      </c>
      <c r="K100" s="6" t="s">
        <v>888</v>
      </c>
      <c r="L100" s="6" t="s">
        <v>23</v>
      </c>
      <c r="M100" s="6" t="s">
        <v>23</v>
      </c>
      <c r="N100" s="6">
        <v>53</v>
      </c>
      <c r="O100" s="6" t="s">
        <v>887</v>
      </c>
      <c r="P100" s="6">
        <v>63</v>
      </c>
      <c r="Q100" s="6" t="s">
        <v>725</v>
      </c>
      <c r="R100" s="6" t="s">
        <v>23</v>
      </c>
      <c r="S100" s="6" t="str">
        <f t="shared" si="1"/>
        <v/>
      </c>
    </row>
    <row r="101" spans="1:19" x14ac:dyDescent="0.25">
      <c r="A101" s="6" t="s">
        <v>500</v>
      </c>
      <c r="B101" s="6">
        <v>73</v>
      </c>
      <c r="C101" s="6" t="s">
        <v>889</v>
      </c>
      <c r="D101" s="6" t="s">
        <v>634</v>
      </c>
      <c r="E101" s="6" t="s">
        <v>890</v>
      </c>
      <c r="F101" s="6" t="s">
        <v>23</v>
      </c>
      <c r="G101" s="6" t="s">
        <v>23</v>
      </c>
      <c r="H101" s="6">
        <v>51</v>
      </c>
      <c r="I101" s="15" t="s">
        <v>727</v>
      </c>
      <c r="J101" s="6">
        <v>61</v>
      </c>
      <c r="K101" s="6" t="s">
        <v>720</v>
      </c>
      <c r="L101" s="6" t="s">
        <v>23</v>
      </c>
      <c r="M101" s="6" t="s">
        <v>23</v>
      </c>
      <c r="N101" s="6">
        <v>54</v>
      </c>
      <c r="O101" s="6" t="s">
        <v>728</v>
      </c>
      <c r="P101" s="6">
        <v>64</v>
      </c>
      <c r="Q101" s="6" t="s">
        <v>720</v>
      </c>
      <c r="R101" s="6" t="s">
        <v>23</v>
      </c>
      <c r="S101" s="6" t="str">
        <f t="shared" si="1"/>
        <v>RATS</v>
      </c>
    </row>
    <row r="102" spans="1:19" x14ac:dyDescent="0.25">
      <c r="A102" s="6" t="s">
        <v>503</v>
      </c>
      <c r="B102" s="6">
        <v>74</v>
      </c>
      <c r="C102" s="6" t="s">
        <v>23</v>
      </c>
      <c r="D102" s="6" t="s">
        <v>634</v>
      </c>
      <c r="E102" s="6" t="s">
        <v>684</v>
      </c>
      <c r="F102" s="6" t="s">
        <v>23</v>
      </c>
      <c r="G102" s="6" t="s">
        <v>23</v>
      </c>
      <c r="H102" s="6">
        <v>52</v>
      </c>
      <c r="I102" s="15" t="s">
        <v>649</v>
      </c>
      <c r="J102" s="6">
        <v>62</v>
      </c>
      <c r="K102" s="6" t="s">
        <v>860</v>
      </c>
      <c r="L102" s="6" t="s">
        <v>23</v>
      </c>
      <c r="M102" s="6" t="s">
        <v>23</v>
      </c>
      <c r="N102" s="6">
        <v>55</v>
      </c>
      <c r="O102" s="6" t="s">
        <v>649</v>
      </c>
      <c r="P102" s="6">
        <v>65</v>
      </c>
      <c r="Q102" s="6" t="s">
        <v>888</v>
      </c>
      <c r="R102" s="6" t="s">
        <v>23</v>
      </c>
      <c r="S102" s="6" t="str">
        <f t="shared" si="1"/>
        <v/>
      </c>
    </row>
    <row r="103" spans="1:19" x14ac:dyDescent="0.25">
      <c r="A103" s="6" t="s">
        <v>529</v>
      </c>
      <c r="B103" s="6">
        <v>75</v>
      </c>
      <c r="C103" s="6" t="s">
        <v>23</v>
      </c>
      <c r="D103" s="6" t="s">
        <v>634</v>
      </c>
      <c r="E103" s="6" t="s">
        <v>694</v>
      </c>
      <c r="F103" s="6" t="s">
        <v>23</v>
      </c>
      <c r="G103" s="6" t="s">
        <v>23</v>
      </c>
      <c r="H103" s="6">
        <v>53</v>
      </c>
      <c r="I103" s="15" t="s">
        <v>728</v>
      </c>
      <c r="J103" s="6">
        <v>63</v>
      </c>
      <c r="K103" s="6" t="s">
        <v>861</v>
      </c>
      <c r="L103" s="6" t="s">
        <v>23</v>
      </c>
      <c r="M103" s="6" t="s">
        <v>23</v>
      </c>
      <c r="N103" s="6">
        <v>56</v>
      </c>
      <c r="O103" s="6" t="s">
        <v>673</v>
      </c>
      <c r="P103" s="6">
        <v>66</v>
      </c>
      <c r="Q103" s="6" t="s">
        <v>790</v>
      </c>
      <c r="R103" s="6" t="s">
        <v>23</v>
      </c>
      <c r="S103" s="6" t="str">
        <f t="shared" si="1"/>
        <v>RATS</v>
      </c>
    </row>
    <row r="104" spans="1:19" x14ac:dyDescent="0.25">
      <c r="A104" s="6" t="s">
        <v>531</v>
      </c>
      <c r="B104" s="6">
        <v>76</v>
      </c>
      <c r="C104" s="6" t="s">
        <v>23</v>
      </c>
      <c r="D104" s="6" t="s">
        <v>634</v>
      </c>
      <c r="E104" s="6" t="s">
        <v>694</v>
      </c>
      <c r="F104" s="6" t="s">
        <v>23</v>
      </c>
      <c r="G104" s="6" t="s">
        <v>23</v>
      </c>
      <c r="H104" s="6">
        <v>54</v>
      </c>
      <c r="I104" s="15" t="s">
        <v>891</v>
      </c>
      <c r="J104" s="6">
        <v>64</v>
      </c>
      <c r="K104" s="6" t="s">
        <v>864</v>
      </c>
      <c r="L104" s="6" t="s">
        <v>23</v>
      </c>
      <c r="M104" s="6" t="s">
        <v>23</v>
      </c>
      <c r="N104" s="6">
        <v>57</v>
      </c>
      <c r="O104" s="6" t="s">
        <v>891</v>
      </c>
      <c r="P104" s="6">
        <v>67</v>
      </c>
      <c r="Q104" s="6" t="s">
        <v>892</v>
      </c>
      <c r="R104" s="6" t="s">
        <v>23</v>
      </c>
      <c r="S104" s="6" t="str">
        <f t="shared" si="1"/>
        <v/>
      </c>
    </row>
    <row r="105" spans="1:19" x14ac:dyDescent="0.25">
      <c r="A105" s="6" t="s">
        <v>547</v>
      </c>
      <c r="B105" s="6">
        <v>122</v>
      </c>
      <c r="C105" s="6" t="s">
        <v>23</v>
      </c>
      <c r="D105" s="6" t="s">
        <v>634</v>
      </c>
      <c r="E105" s="6" t="s">
        <v>694</v>
      </c>
      <c r="F105" s="6" t="s">
        <v>23</v>
      </c>
      <c r="G105" s="6" t="s">
        <v>23</v>
      </c>
      <c r="H105" s="6">
        <v>87</v>
      </c>
      <c r="I105" s="15" t="s">
        <v>893</v>
      </c>
      <c r="J105" s="6">
        <v>106</v>
      </c>
      <c r="K105" s="6" t="s">
        <v>894</v>
      </c>
      <c r="L105" s="6" t="s">
        <v>23</v>
      </c>
      <c r="M105" s="6" t="s">
        <v>23</v>
      </c>
      <c r="N105" s="6">
        <v>87</v>
      </c>
      <c r="O105" s="6" t="s">
        <v>895</v>
      </c>
      <c r="P105" s="6">
        <v>106</v>
      </c>
      <c r="Q105" s="6" t="s">
        <v>844</v>
      </c>
      <c r="R105" s="6" t="s">
        <v>23</v>
      </c>
      <c r="S105" s="6" t="str">
        <f t="shared" si="1"/>
        <v>RATS</v>
      </c>
    </row>
    <row r="106" spans="1:19" x14ac:dyDescent="0.25">
      <c r="A106" s="6" t="s">
        <v>550</v>
      </c>
      <c r="B106" s="6">
        <v>123</v>
      </c>
      <c r="C106" s="6" t="s">
        <v>23</v>
      </c>
      <c r="D106" s="6" t="s">
        <v>634</v>
      </c>
      <c r="E106" s="6" t="s">
        <v>694</v>
      </c>
      <c r="F106" s="6" t="s">
        <v>23</v>
      </c>
      <c r="G106" s="6" t="s">
        <v>23</v>
      </c>
      <c r="H106" s="6">
        <v>88</v>
      </c>
      <c r="I106" s="15" t="s">
        <v>896</v>
      </c>
      <c r="J106" s="6">
        <v>107</v>
      </c>
      <c r="K106" s="6" t="s">
        <v>897</v>
      </c>
      <c r="L106" s="6" t="s">
        <v>23</v>
      </c>
      <c r="M106" s="6" t="s">
        <v>23</v>
      </c>
      <c r="N106" s="6">
        <v>88</v>
      </c>
      <c r="O106" s="6" t="s">
        <v>896</v>
      </c>
      <c r="P106" s="6">
        <v>107</v>
      </c>
      <c r="Q106" s="6" t="s">
        <v>894</v>
      </c>
      <c r="R106" s="6" t="s">
        <v>23</v>
      </c>
      <c r="S106" s="6" t="str">
        <f t="shared" si="1"/>
        <v/>
      </c>
    </row>
    <row r="107" spans="1:19" x14ac:dyDescent="0.25">
      <c r="A107" s="6" t="s">
        <v>553</v>
      </c>
      <c r="B107" s="6">
        <v>124</v>
      </c>
      <c r="C107" s="6" t="s">
        <v>23</v>
      </c>
      <c r="D107" s="6" t="s">
        <v>634</v>
      </c>
      <c r="E107" s="6" t="s">
        <v>694</v>
      </c>
      <c r="F107" s="6" t="s">
        <v>23</v>
      </c>
      <c r="G107" s="6" t="s">
        <v>23</v>
      </c>
      <c r="H107" s="6">
        <v>89</v>
      </c>
      <c r="I107" s="15" t="s">
        <v>898</v>
      </c>
      <c r="J107" s="6">
        <v>108</v>
      </c>
      <c r="K107" s="6" t="s">
        <v>899</v>
      </c>
      <c r="L107" s="6" t="s">
        <v>23</v>
      </c>
      <c r="M107" s="6" t="s">
        <v>23</v>
      </c>
      <c r="N107" s="6">
        <v>89</v>
      </c>
      <c r="O107" s="6" t="s">
        <v>847</v>
      </c>
      <c r="P107" s="6">
        <v>108</v>
      </c>
      <c r="Q107" s="6" t="s">
        <v>841</v>
      </c>
      <c r="R107" s="6" t="s">
        <v>23</v>
      </c>
      <c r="S107" s="6" t="str">
        <f t="shared" si="1"/>
        <v>RATS</v>
      </c>
    </row>
    <row r="108" spans="1:19" x14ac:dyDescent="0.25">
      <c r="A108" s="6" t="s">
        <v>555</v>
      </c>
      <c r="B108" s="6">
        <v>125</v>
      </c>
      <c r="C108" s="6" t="s">
        <v>23</v>
      </c>
      <c r="D108" s="6" t="s">
        <v>634</v>
      </c>
      <c r="E108" s="6" t="s">
        <v>694</v>
      </c>
      <c r="F108" s="6" t="s">
        <v>23</v>
      </c>
      <c r="G108" s="6" t="s">
        <v>23</v>
      </c>
      <c r="H108" s="6">
        <v>90</v>
      </c>
      <c r="I108" s="15" t="s">
        <v>636</v>
      </c>
      <c r="J108" s="6">
        <v>109</v>
      </c>
      <c r="K108" s="6" t="s">
        <v>794</v>
      </c>
      <c r="L108" s="6" t="s">
        <v>23</v>
      </c>
      <c r="M108" s="6" t="s">
        <v>23</v>
      </c>
      <c r="N108" s="6">
        <v>90</v>
      </c>
      <c r="O108" s="6" t="s">
        <v>846</v>
      </c>
      <c r="P108" s="6">
        <v>109</v>
      </c>
      <c r="Q108" s="6" t="s">
        <v>837</v>
      </c>
      <c r="R108" s="6" t="s">
        <v>23</v>
      </c>
      <c r="S108" s="6" t="str">
        <f t="shared" si="1"/>
        <v>RATS</v>
      </c>
    </row>
    <row r="109" spans="1:19" x14ac:dyDescent="0.25">
      <c r="A109" s="6" t="s">
        <v>557</v>
      </c>
      <c r="B109" s="6">
        <v>126</v>
      </c>
      <c r="C109" s="6" t="s">
        <v>23</v>
      </c>
      <c r="D109" s="6" t="s">
        <v>634</v>
      </c>
      <c r="E109" s="6" t="s">
        <v>684</v>
      </c>
      <c r="F109" s="6" t="s">
        <v>23</v>
      </c>
      <c r="G109" s="6" t="s">
        <v>23</v>
      </c>
      <c r="H109" s="6">
        <v>91</v>
      </c>
      <c r="I109" s="15" t="s">
        <v>799</v>
      </c>
      <c r="J109" s="6">
        <v>110</v>
      </c>
      <c r="K109" s="6" t="s">
        <v>900</v>
      </c>
      <c r="L109" s="6" t="s">
        <v>23</v>
      </c>
      <c r="M109" s="6" t="s">
        <v>23</v>
      </c>
      <c r="N109" s="6">
        <v>91</v>
      </c>
      <c r="O109" s="6" t="s">
        <v>898</v>
      </c>
      <c r="P109" s="6">
        <v>110</v>
      </c>
      <c r="Q109" s="6" t="s">
        <v>899</v>
      </c>
      <c r="R109" s="6" t="s">
        <v>23</v>
      </c>
      <c r="S109" s="6" t="str">
        <f t="shared" si="1"/>
        <v>RATS</v>
      </c>
    </row>
    <row r="110" spans="1:19" x14ac:dyDescent="0.25">
      <c r="A110" s="6" t="s">
        <v>558</v>
      </c>
      <c r="B110" s="6">
        <v>127</v>
      </c>
      <c r="C110" s="6" t="s">
        <v>23</v>
      </c>
      <c r="D110" s="6" t="s">
        <v>634</v>
      </c>
      <c r="E110" s="6" t="s">
        <v>684</v>
      </c>
      <c r="F110" s="6" t="s">
        <v>23</v>
      </c>
      <c r="G110" s="6" t="s">
        <v>23</v>
      </c>
      <c r="H110" s="6">
        <v>92</v>
      </c>
      <c r="I110" s="15" t="s">
        <v>793</v>
      </c>
      <c r="J110" s="6">
        <v>111</v>
      </c>
      <c r="K110" s="6" t="s">
        <v>893</v>
      </c>
      <c r="L110" s="6" t="s">
        <v>23</v>
      </c>
      <c r="M110" s="6" t="s">
        <v>23</v>
      </c>
      <c r="N110" s="6">
        <v>92</v>
      </c>
      <c r="O110" s="6" t="s">
        <v>843</v>
      </c>
      <c r="P110" s="6">
        <v>111</v>
      </c>
      <c r="Q110" s="6" t="s">
        <v>900</v>
      </c>
      <c r="R110" s="6" t="s">
        <v>23</v>
      </c>
      <c r="S110" s="6" t="str">
        <f t="shared" si="1"/>
        <v>RATS</v>
      </c>
    </row>
    <row r="111" spans="1:19" x14ac:dyDescent="0.25">
      <c r="A111" s="6" t="s">
        <v>559</v>
      </c>
      <c r="B111" s="6">
        <v>128</v>
      </c>
      <c r="C111" s="6" t="s">
        <v>23</v>
      </c>
      <c r="D111" s="6" t="s">
        <v>634</v>
      </c>
      <c r="E111" s="6" t="s">
        <v>694</v>
      </c>
      <c r="F111" s="6" t="s">
        <v>23</v>
      </c>
      <c r="G111" s="6" t="s">
        <v>23</v>
      </c>
      <c r="H111" s="6">
        <v>93</v>
      </c>
      <c r="I111" s="15" t="s">
        <v>796</v>
      </c>
      <c r="J111" s="6">
        <v>112</v>
      </c>
      <c r="K111" s="6" t="s">
        <v>797</v>
      </c>
      <c r="L111" s="6" t="s">
        <v>23</v>
      </c>
      <c r="M111" s="6" t="s">
        <v>23</v>
      </c>
      <c r="N111" s="6">
        <v>93</v>
      </c>
      <c r="O111" s="6" t="s">
        <v>795</v>
      </c>
      <c r="P111" s="6">
        <v>112</v>
      </c>
      <c r="Q111" s="6" t="s">
        <v>897</v>
      </c>
      <c r="R111" s="6" t="s">
        <v>23</v>
      </c>
      <c r="S111" s="6" t="str">
        <f t="shared" si="1"/>
        <v>RATS</v>
      </c>
    </row>
    <row r="112" spans="1:19" x14ac:dyDescent="0.25">
      <c r="A112" s="6" t="s">
        <v>561</v>
      </c>
      <c r="B112" s="6">
        <v>173</v>
      </c>
      <c r="C112" s="6" t="s">
        <v>23</v>
      </c>
      <c r="D112" s="6" t="s">
        <v>634</v>
      </c>
      <c r="E112" s="6" t="s">
        <v>827</v>
      </c>
      <c r="F112" s="6" t="s">
        <v>23</v>
      </c>
      <c r="G112" s="6" t="s">
        <v>23</v>
      </c>
      <c r="H112" s="6">
        <v>124</v>
      </c>
      <c r="I112" s="15" t="s">
        <v>740</v>
      </c>
      <c r="J112" s="6">
        <v>152</v>
      </c>
      <c r="K112" s="6" t="s">
        <v>808</v>
      </c>
      <c r="L112" s="6" t="s">
        <v>23</v>
      </c>
      <c r="M112" s="6" t="s">
        <v>23</v>
      </c>
      <c r="N112" s="6">
        <v>124</v>
      </c>
      <c r="O112" s="6" t="s">
        <v>828</v>
      </c>
      <c r="P112" s="6">
        <v>152</v>
      </c>
      <c r="Q112" s="6" t="s">
        <v>712</v>
      </c>
      <c r="R112" s="6" t="s">
        <v>23</v>
      </c>
      <c r="S112" s="6" t="str">
        <f t="shared" si="1"/>
        <v>RATS</v>
      </c>
    </row>
    <row r="113" spans="1:19" x14ac:dyDescent="0.25">
      <c r="A113" s="6" t="s">
        <v>533</v>
      </c>
      <c r="B113" s="6">
        <v>174</v>
      </c>
      <c r="C113" s="6" t="s">
        <v>23</v>
      </c>
      <c r="D113" s="6" t="s">
        <v>634</v>
      </c>
      <c r="E113" s="6" t="s">
        <v>827</v>
      </c>
      <c r="F113" s="6" t="s">
        <v>23</v>
      </c>
      <c r="G113" s="6" t="s">
        <v>23</v>
      </c>
      <c r="H113" s="6">
        <v>125</v>
      </c>
      <c r="I113" s="15" t="s">
        <v>735</v>
      </c>
      <c r="J113" s="6">
        <v>153</v>
      </c>
      <c r="K113" s="6" t="s">
        <v>737</v>
      </c>
      <c r="L113" s="6" t="s">
        <v>23</v>
      </c>
      <c r="M113" s="6" t="s">
        <v>23</v>
      </c>
      <c r="N113" s="6">
        <v>125</v>
      </c>
      <c r="O113" s="6" t="s">
        <v>901</v>
      </c>
      <c r="P113" s="6">
        <v>153</v>
      </c>
      <c r="Q113" s="6" t="s">
        <v>716</v>
      </c>
      <c r="R113" s="6" t="s">
        <v>23</v>
      </c>
      <c r="S113" s="6" t="str">
        <f t="shared" si="1"/>
        <v>RATS</v>
      </c>
    </row>
    <row r="114" spans="1:19" x14ac:dyDescent="0.25">
      <c r="A114" s="6" t="s">
        <v>535</v>
      </c>
      <c r="B114" s="6">
        <v>175</v>
      </c>
      <c r="C114" s="6" t="s">
        <v>23</v>
      </c>
      <c r="D114" s="6" t="s">
        <v>634</v>
      </c>
      <c r="E114" s="6" t="s">
        <v>827</v>
      </c>
      <c r="F114" s="6" t="s">
        <v>23</v>
      </c>
      <c r="G114" s="6" t="s">
        <v>23</v>
      </c>
      <c r="H114" s="6" t="s">
        <v>23</v>
      </c>
      <c r="I114" s="15" t="s">
        <v>23</v>
      </c>
      <c r="J114" s="6">
        <v>154</v>
      </c>
      <c r="K114" s="6" t="s">
        <v>811</v>
      </c>
      <c r="L114" s="6" t="s">
        <v>23</v>
      </c>
      <c r="M114" s="6" t="s">
        <v>23</v>
      </c>
      <c r="N114" s="6">
        <v>126</v>
      </c>
      <c r="O114" s="6" t="s">
        <v>740</v>
      </c>
      <c r="P114" s="6">
        <v>154</v>
      </c>
      <c r="Q114" s="6" t="s">
        <v>808</v>
      </c>
      <c r="R114" s="6" t="s">
        <v>23</v>
      </c>
      <c r="S114" s="6" t="str">
        <f t="shared" si="1"/>
        <v>RATS</v>
      </c>
    </row>
    <row r="115" spans="1:19" x14ac:dyDescent="0.25">
      <c r="A115" s="6" t="s">
        <v>536</v>
      </c>
      <c r="B115" s="6">
        <v>176</v>
      </c>
      <c r="C115" s="6" t="s">
        <v>23</v>
      </c>
      <c r="D115" s="6" t="s">
        <v>634</v>
      </c>
      <c r="E115" s="6" t="s">
        <v>827</v>
      </c>
      <c r="F115" s="6" t="s">
        <v>23</v>
      </c>
      <c r="G115" s="6" t="s">
        <v>23</v>
      </c>
      <c r="H115" s="6">
        <v>126</v>
      </c>
      <c r="I115" s="15" t="s">
        <v>902</v>
      </c>
      <c r="J115" s="6">
        <v>155</v>
      </c>
      <c r="K115" s="6" t="s">
        <v>829</v>
      </c>
      <c r="L115" s="6" t="s">
        <v>23</v>
      </c>
      <c r="M115" s="6" t="s">
        <v>23</v>
      </c>
      <c r="N115" s="6">
        <v>127</v>
      </c>
      <c r="O115" s="6" t="s">
        <v>824</v>
      </c>
      <c r="P115" s="6">
        <v>155</v>
      </c>
      <c r="Q115" s="6" t="s">
        <v>829</v>
      </c>
      <c r="R115" s="6" t="s">
        <v>23</v>
      </c>
      <c r="S115" s="6" t="str">
        <f t="shared" si="1"/>
        <v>RATS</v>
      </c>
    </row>
    <row r="116" spans="1:19" x14ac:dyDescent="0.25">
      <c r="A116" s="6" t="s">
        <v>539</v>
      </c>
      <c r="B116" s="6">
        <v>177</v>
      </c>
      <c r="C116" s="6" t="s">
        <v>23</v>
      </c>
      <c r="D116" s="6" t="s">
        <v>634</v>
      </c>
      <c r="E116" s="6" t="s">
        <v>827</v>
      </c>
      <c r="F116" s="6" t="s">
        <v>23</v>
      </c>
      <c r="G116" s="6" t="s">
        <v>23</v>
      </c>
      <c r="H116" s="6">
        <v>127</v>
      </c>
      <c r="I116" s="15" t="s">
        <v>23</v>
      </c>
      <c r="J116" s="6">
        <v>156</v>
      </c>
      <c r="K116" s="6" t="s">
        <v>824</v>
      </c>
      <c r="L116" s="6" t="s">
        <v>23</v>
      </c>
      <c r="M116" s="6" t="s">
        <v>23</v>
      </c>
      <c r="N116" s="6">
        <v>128</v>
      </c>
      <c r="O116" s="6" t="s">
        <v>902</v>
      </c>
      <c r="P116" s="6">
        <v>156</v>
      </c>
      <c r="Q116" s="6" t="s">
        <v>901</v>
      </c>
      <c r="R116" s="6" t="s">
        <v>23</v>
      </c>
      <c r="S116" s="6" t="str">
        <f t="shared" si="1"/>
        <v>RATS</v>
      </c>
    </row>
    <row r="117" spans="1:19" x14ac:dyDescent="0.25">
      <c r="A117" s="6" t="s">
        <v>543</v>
      </c>
      <c r="B117" s="6">
        <v>178</v>
      </c>
      <c r="C117" s="6" t="s">
        <v>23</v>
      </c>
      <c r="D117" s="6" t="s">
        <v>634</v>
      </c>
      <c r="E117" s="6" t="s">
        <v>827</v>
      </c>
      <c r="F117" s="6" t="s">
        <v>23</v>
      </c>
      <c r="G117" s="6" t="s">
        <v>23</v>
      </c>
      <c r="H117" s="6">
        <v>128</v>
      </c>
      <c r="I117" s="15" t="s">
        <v>23</v>
      </c>
      <c r="J117" s="6">
        <v>157</v>
      </c>
      <c r="K117" s="6" t="s">
        <v>901</v>
      </c>
      <c r="L117" s="6" t="s">
        <v>23</v>
      </c>
      <c r="M117" s="6" t="s">
        <v>23</v>
      </c>
      <c r="N117" s="6">
        <v>129</v>
      </c>
      <c r="O117" s="6" t="s">
        <v>735</v>
      </c>
      <c r="P117" s="6">
        <v>157</v>
      </c>
      <c r="Q117" s="6" t="s">
        <v>826</v>
      </c>
      <c r="R117" s="6" t="s">
        <v>23</v>
      </c>
      <c r="S117" s="6" t="str">
        <f t="shared" si="1"/>
        <v>RATS</v>
      </c>
    </row>
    <row r="118" spans="1:19" x14ac:dyDescent="0.25">
      <c r="A118" s="6" t="s">
        <v>545</v>
      </c>
      <c r="B118" s="6">
        <v>181</v>
      </c>
      <c r="C118" s="6" t="s">
        <v>23</v>
      </c>
      <c r="D118" s="6" t="s">
        <v>634</v>
      </c>
      <c r="E118" s="6" t="s">
        <v>694</v>
      </c>
      <c r="F118" s="6" t="s">
        <v>23</v>
      </c>
      <c r="G118" s="6" t="s">
        <v>23</v>
      </c>
      <c r="H118" s="6">
        <v>131</v>
      </c>
      <c r="I118" s="15" t="s">
        <v>734</v>
      </c>
      <c r="J118" s="6">
        <v>160</v>
      </c>
      <c r="K118" s="6" t="s">
        <v>826</v>
      </c>
      <c r="L118" s="6" t="s">
        <v>23</v>
      </c>
      <c r="M118" s="6" t="s">
        <v>23</v>
      </c>
      <c r="N118" s="6">
        <v>132</v>
      </c>
      <c r="O118" s="6" t="s">
        <v>734</v>
      </c>
      <c r="P118" s="6">
        <v>160</v>
      </c>
      <c r="Q118" s="6" t="s">
        <v>731</v>
      </c>
      <c r="R118" s="6" t="s">
        <v>23</v>
      </c>
      <c r="S118" s="6" t="str">
        <f t="shared" si="1"/>
        <v/>
      </c>
    </row>
    <row r="119" spans="1:19" x14ac:dyDescent="0.25">
      <c r="A119" s="6" t="s">
        <v>562</v>
      </c>
      <c r="B119" s="6">
        <v>33</v>
      </c>
      <c r="C119" s="6" t="s">
        <v>563</v>
      </c>
      <c r="D119" s="6" t="s">
        <v>634</v>
      </c>
      <c r="E119" s="6" t="s">
        <v>706</v>
      </c>
      <c r="F119" s="6" t="s">
        <v>903</v>
      </c>
      <c r="G119" s="6">
        <v>12</v>
      </c>
      <c r="H119" s="6">
        <v>23</v>
      </c>
      <c r="I119" s="15" t="s">
        <v>880</v>
      </c>
      <c r="J119" s="6">
        <v>28</v>
      </c>
      <c r="K119" s="6" t="s">
        <v>640</v>
      </c>
      <c r="L119" s="6">
        <v>5</v>
      </c>
      <c r="M119" s="6">
        <v>12</v>
      </c>
      <c r="N119" s="6">
        <v>23</v>
      </c>
      <c r="O119" s="6" t="s">
        <v>880</v>
      </c>
      <c r="P119" s="6">
        <v>29</v>
      </c>
      <c r="Q119" s="6" t="s">
        <v>879</v>
      </c>
      <c r="R119" s="6">
        <v>5</v>
      </c>
      <c r="S119" s="6" t="str">
        <f t="shared" si="1"/>
        <v/>
      </c>
    </row>
    <row r="120" spans="1:19" x14ac:dyDescent="0.25">
      <c r="A120" s="6" t="s">
        <v>564</v>
      </c>
      <c r="B120" s="6">
        <v>34</v>
      </c>
      <c r="C120" s="6" t="s">
        <v>565</v>
      </c>
      <c r="D120" s="6" t="s">
        <v>634</v>
      </c>
      <c r="E120" s="6" t="s">
        <v>706</v>
      </c>
      <c r="F120" s="6" t="s">
        <v>835</v>
      </c>
      <c r="G120" s="6">
        <v>13</v>
      </c>
      <c r="H120" s="6">
        <v>24</v>
      </c>
      <c r="I120" s="15" t="s">
        <v>640</v>
      </c>
      <c r="J120" s="6">
        <v>29</v>
      </c>
      <c r="K120" s="6" t="s">
        <v>778</v>
      </c>
      <c r="L120" s="6">
        <v>6</v>
      </c>
      <c r="M120" s="6">
        <v>13</v>
      </c>
      <c r="N120" s="6">
        <v>24</v>
      </c>
      <c r="O120" s="6" t="s">
        <v>876</v>
      </c>
      <c r="P120" s="6">
        <v>30</v>
      </c>
      <c r="Q120" s="6" t="s">
        <v>880</v>
      </c>
      <c r="R120" s="6">
        <v>6</v>
      </c>
      <c r="S120" s="6" t="str">
        <f t="shared" si="1"/>
        <v>RATS</v>
      </c>
    </row>
    <row r="121" spans="1:19" x14ac:dyDescent="0.25">
      <c r="A121" s="6" t="s">
        <v>575</v>
      </c>
      <c r="B121" s="6">
        <v>49</v>
      </c>
      <c r="C121" s="6" t="s">
        <v>23</v>
      </c>
      <c r="D121" s="6" t="s">
        <v>634</v>
      </c>
      <c r="E121" s="6" t="s">
        <v>694</v>
      </c>
      <c r="F121" s="6" t="s">
        <v>23</v>
      </c>
      <c r="G121" s="6" t="s">
        <v>23</v>
      </c>
      <c r="H121" s="6" t="s">
        <v>23</v>
      </c>
      <c r="I121" s="15" t="s">
        <v>645</v>
      </c>
      <c r="J121" s="6">
        <v>42</v>
      </c>
      <c r="K121" s="6" t="s">
        <v>663</v>
      </c>
      <c r="L121" s="6" t="s">
        <v>23</v>
      </c>
      <c r="M121" s="6" t="s">
        <v>23</v>
      </c>
      <c r="N121" s="6" t="s">
        <v>23</v>
      </c>
      <c r="O121" s="6" t="s">
        <v>638</v>
      </c>
      <c r="P121" s="6">
        <v>43</v>
      </c>
      <c r="Q121" s="6" t="s">
        <v>707</v>
      </c>
      <c r="R121" s="6" t="s">
        <v>23</v>
      </c>
      <c r="S121" s="6" t="str">
        <f t="shared" si="1"/>
        <v>RATS</v>
      </c>
    </row>
    <row r="122" spans="1:19" x14ac:dyDescent="0.25">
      <c r="A122" s="6" t="s">
        <v>577</v>
      </c>
      <c r="B122" s="6">
        <v>52</v>
      </c>
      <c r="C122" s="6" t="s">
        <v>23</v>
      </c>
      <c r="D122" s="6" t="s">
        <v>634</v>
      </c>
      <c r="E122" s="6" t="s">
        <v>659</v>
      </c>
      <c r="F122" s="6" t="s">
        <v>23</v>
      </c>
      <c r="G122" s="6" t="s">
        <v>23</v>
      </c>
      <c r="H122" s="6" t="s">
        <v>23</v>
      </c>
      <c r="I122" s="15" t="s">
        <v>653</v>
      </c>
      <c r="J122" s="6">
        <v>43</v>
      </c>
      <c r="K122" s="6" t="s">
        <v>679</v>
      </c>
      <c r="L122" s="6" t="s">
        <v>23</v>
      </c>
      <c r="M122" s="6" t="s">
        <v>23</v>
      </c>
      <c r="N122" s="6" t="s">
        <v>23</v>
      </c>
      <c r="O122" s="6" t="s">
        <v>653</v>
      </c>
      <c r="P122" s="6">
        <v>44</v>
      </c>
      <c r="Q122" s="6" t="s">
        <v>881</v>
      </c>
      <c r="R122" s="6" t="s">
        <v>23</v>
      </c>
      <c r="S122" s="6" t="str">
        <f t="shared" si="1"/>
        <v/>
      </c>
    </row>
    <row r="123" spans="1:19" x14ac:dyDescent="0.25">
      <c r="A123" s="6" t="s">
        <v>578</v>
      </c>
      <c r="B123" s="6">
        <v>53</v>
      </c>
      <c r="C123" s="6" t="s">
        <v>23</v>
      </c>
      <c r="D123" s="6" t="s">
        <v>634</v>
      </c>
      <c r="E123" s="6" t="s">
        <v>742</v>
      </c>
      <c r="F123" s="6" t="s">
        <v>23</v>
      </c>
      <c r="G123" s="6" t="s">
        <v>23</v>
      </c>
      <c r="H123" s="6" t="s">
        <v>23</v>
      </c>
      <c r="I123" s="15" t="s">
        <v>766</v>
      </c>
      <c r="J123" s="6" t="s">
        <v>23</v>
      </c>
      <c r="K123" s="6" t="s">
        <v>904</v>
      </c>
      <c r="L123" s="6" t="s">
        <v>23</v>
      </c>
      <c r="M123" s="6" t="s">
        <v>23</v>
      </c>
      <c r="N123" s="6" t="s">
        <v>23</v>
      </c>
      <c r="O123" s="6" t="s">
        <v>766</v>
      </c>
      <c r="P123" s="6">
        <v>45</v>
      </c>
      <c r="Q123" s="6" t="s">
        <v>639</v>
      </c>
      <c r="R123" s="6" t="s">
        <v>23</v>
      </c>
      <c r="S123" s="6" t="str">
        <f t="shared" si="1"/>
        <v/>
      </c>
    </row>
    <row r="124" spans="1:19" x14ac:dyDescent="0.25">
      <c r="A124" s="6" t="s">
        <v>580</v>
      </c>
      <c r="B124" s="6">
        <v>54</v>
      </c>
      <c r="C124" s="6" t="s">
        <v>23</v>
      </c>
      <c r="D124" s="6" t="s">
        <v>634</v>
      </c>
      <c r="E124" s="6" t="s">
        <v>742</v>
      </c>
      <c r="F124" s="6" t="s">
        <v>23</v>
      </c>
      <c r="G124" s="6" t="s">
        <v>23</v>
      </c>
      <c r="H124" s="6" t="s">
        <v>23</v>
      </c>
      <c r="I124" s="15" t="s">
        <v>669</v>
      </c>
      <c r="J124" s="6" t="s">
        <v>23</v>
      </c>
      <c r="K124" s="6" t="s">
        <v>905</v>
      </c>
      <c r="L124" s="6" t="s">
        <v>23</v>
      </c>
      <c r="M124" s="6" t="s">
        <v>23</v>
      </c>
      <c r="N124" s="6" t="s">
        <v>23</v>
      </c>
      <c r="O124" s="6" t="s">
        <v>657</v>
      </c>
      <c r="P124" s="6">
        <v>46</v>
      </c>
      <c r="Q124" s="6" t="s">
        <v>645</v>
      </c>
      <c r="R124" s="6" t="s">
        <v>23</v>
      </c>
      <c r="S124" s="6" t="str">
        <f t="shared" si="1"/>
        <v>RATS</v>
      </c>
    </row>
    <row r="125" spans="1:19" x14ac:dyDescent="0.25">
      <c r="A125" s="6" t="s">
        <v>582</v>
      </c>
      <c r="B125" s="6">
        <v>96</v>
      </c>
      <c r="C125" s="6" t="s">
        <v>23</v>
      </c>
      <c r="D125" s="6" t="s">
        <v>634</v>
      </c>
      <c r="E125" s="6" t="s">
        <v>906</v>
      </c>
      <c r="F125" s="6" t="s">
        <v>23</v>
      </c>
      <c r="G125" s="6" t="s">
        <v>23</v>
      </c>
      <c r="H125" s="6" t="s">
        <v>23</v>
      </c>
      <c r="I125" s="15" t="s">
        <v>842</v>
      </c>
      <c r="J125" s="6">
        <v>84</v>
      </c>
      <c r="K125" s="6" t="s">
        <v>764</v>
      </c>
      <c r="L125" s="6" t="s">
        <v>23</v>
      </c>
      <c r="M125" s="6" t="s">
        <v>23</v>
      </c>
      <c r="N125" s="6" t="s">
        <v>23</v>
      </c>
      <c r="O125" s="6" t="s">
        <v>903</v>
      </c>
      <c r="P125" s="6">
        <v>84</v>
      </c>
      <c r="Q125" s="6" t="s">
        <v>907</v>
      </c>
      <c r="R125" s="6" t="s">
        <v>23</v>
      </c>
      <c r="S125" s="6" t="str">
        <f t="shared" si="1"/>
        <v>RATS</v>
      </c>
    </row>
    <row r="126" spans="1:19" x14ac:dyDescent="0.25">
      <c r="A126" s="6" t="s">
        <v>584</v>
      </c>
      <c r="B126" s="6">
        <v>97</v>
      </c>
      <c r="C126" s="6" t="s">
        <v>23</v>
      </c>
      <c r="D126" s="6" t="s">
        <v>634</v>
      </c>
      <c r="E126" s="6" t="s">
        <v>739</v>
      </c>
      <c r="F126" s="6" t="s">
        <v>23</v>
      </c>
      <c r="G126" s="6" t="s">
        <v>23</v>
      </c>
      <c r="H126" s="6" t="s">
        <v>23</v>
      </c>
      <c r="I126" s="15" t="s">
        <v>763</v>
      </c>
      <c r="J126" s="6">
        <v>85</v>
      </c>
      <c r="K126" s="6" t="s">
        <v>836</v>
      </c>
      <c r="L126" s="6" t="s">
        <v>23</v>
      </c>
      <c r="M126" s="6" t="s">
        <v>23</v>
      </c>
      <c r="N126" s="6" t="s">
        <v>23</v>
      </c>
      <c r="O126" s="6" t="s">
        <v>751</v>
      </c>
      <c r="P126" s="6">
        <v>85</v>
      </c>
      <c r="Q126" s="6" t="s">
        <v>752</v>
      </c>
      <c r="R126" s="6" t="s">
        <v>23</v>
      </c>
      <c r="S126" s="6" t="str">
        <f t="shared" si="1"/>
        <v>RATS</v>
      </c>
    </row>
    <row r="127" spans="1:19" x14ac:dyDescent="0.25">
      <c r="A127" s="6" t="s">
        <v>586</v>
      </c>
      <c r="B127" s="6">
        <v>98</v>
      </c>
      <c r="C127" s="6" t="s">
        <v>23</v>
      </c>
      <c r="D127" s="6" t="s">
        <v>634</v>
      </c>
      <c r="E127" s="6" t="s">
        <v>684</v>
      </c>
      <c r="F127" s="6" t="s">
        <v>23</v>
      </c>
      <c r="G127" s="6" t="s">
        <v>23</v>
      </c>
      <c r="H127" s="6" t="s">
        <v>23</v>
      </c>
      <c r="I127" s="15" t="s">
        <v>908</v>
      </c>
      <c r="J127" s="6" t="s">
        <v>23</v>
      </c>
      <c r="K127" s="6" t="s">
        <v>842</v>
      </c>
      <c r="L127" s="6" t="s">
        <v>23</v>
      </c>
      <c r="M127" s="6" t="s">
        <v>23</v>
      </c>
      <c r="N127" s="6" t="s">
        <v>23</v>
      </c>
      <c r="O127" s="6" t="s">
        <v>749</v>
      </c>
      <c r="P127" s="6">
        <v>86</v>
      </c>
      <c r="Q127" s="6" t="s">
        <v>908</v>
      </c>
      <c r="R127" s="6" t="s">
        <v>23</v>
      </c>
      <c r="S127" s="6" t="str">
        <f t="shared" si="1"/>
        <v>RATS</v>
      </c>
    </row>
    <row r="128" spans="1:19" x14ac:dyDescent="0.25">
      <c r="A128" s="6" t="s">
        <v>588</v>
      </c>
      <c r="B128" s="6">
        <v>99</v>
      </c>
      <c r="C128" s="6" t="s">
        <v>23</v>
      </c>
      <c r="D128" s="6" t="s">
        <v>634</v>
      </c>
      <c r="E128" s="6" t="s">
        <v>694</v>
      </c>
      <c r="F128" s="6" t="s">
        <v>23</v>
      </c>
      <c r="G128" s="6" t="s">
        <v>23</v>
      </c>
      <c r="H128" s="6" t="s">
        <v>23</v>
      </c>
      <c r="I128" s="15" t="s">
        <v>769</v>
      </c>
      <c r="J128" s="6">
        <v>86</v>
      </c>
      <c r="K128" s="6" t="s">
        <v>908</v>
      </c>
      <c r="L128" s="6" t="s">
        <v>23</v>
      </c>
      <c r="M128" s="6" t="s">
        <v>23</v>
      </c>
      <c r="N128" s="6" t="s">
        <v>23</v>
      </c>
      <c r="O128" s="6" t="s">
        <v>23</v>
      </c>
      <c r="P128" s="6">
        <v>87</v>
      </c>
      <c r="Q128" s="6" t="s">
        <v>769</v>
      </c>
      <c r="R128" s="6" t="s">
        <v>23</v>
      </c>
      <c r="S128" s="6" t="str">
        <f t="shared" si="1"/>
        <v>RATS</v>
      </c>
    </row>
    <row r="129" spans="1:19" x14ac:dyDescent="0.25">
      <c r="A129" s="6" t="s">
        <v>566</v>
      </c>
      <c r="B129" s="6">
        <v>100</v>
      </c>
      <c r="C129" s="6" t="s">
        <v>23</v>
      </c>
      <c r="D129" s="6" t="s">
        <v>634</v>
      </c>
      <c r="E129" s="6" t="s">
        <v>694</v>
      </c>
      <c r="F129" s="6" t="s">
        <v>23</v>
      </c>
      <c r="G129" s="6" t="s">
        <v>23</v>
      </c>
      <c r="H129" s="6" t="s">
        <v>23</v>
      </c>
      <c r="I129" s="15" t="s">
        <v>903</v>
      </c>
      <c r="J129" s="6">
        <v>87</v>
      </c>
      <c r="K129" s="6" t="s">
        <v>839</v>
      </c>
      <c r="L129" s="6" t="s">
        <v>23</v>
      </c>
      <c r="M129" s="6" t="s">
        <v>23</v>
      </c>
      <c r="N129" s="6" t="s">
        <v>23</v>
      </c>
      <c r="O129" s="6" t="s">
        <v>907</v>
      </c>
      <c r="P129" s="6">
        <v>88</v>
      </c>
      <c r="Q129" s="6" t="s">
        <v>834</v>
      </c>
      <c r="R129" s="6" t="s">
        <v>23</v>
      </c>
      <c r="S129" s="6" t="str">
        <f t="shared" si="1"/>
        <v>RATS</v>
      </c>
    </row>
    <row r="130" spans="1:19" x14ac:dyDescent="0.25">
      <c r="A130" s="6" t="s">
        <v>568</v>
      </c>
      <c r="B130" s="6">
        <v>101</v>
      </c>
      <c r="C130" s="6" t="s">
        <v>23</v>
      </c>
      <c r="D130" s="6" t="s">
        <v>634</v>
      </c>
      <c r="E130" s="6" t="s">
        <v>684</v>
      </c>
      <c r="F130" s="6" t="s">
        <v>23</v>
      </c>
      <c r="G130" s="6" t="s">
        <v>23</v>
      </c>
      <c r="H130" s="6" t="s">
        <v>23</v>
      </c>
      <c r="I130" s="15" t="s">
        <v>834</v>
      </c>
      <c r="J130" s="6">
        <v>88</v>
      </c>
      <c r="K130" s="6" t="s">
        <v>832</v>
      </c>
      <c r="L130" s="6" t="s">
        <v>23</v>
      </c>
      <c r="M130" s="6" t="s">
        <v>23</v>
      </c>
      <c r="N130" s="6" t="s">
        <v>23</v>
      </c>
      <c r="O130" s="6" t="s">
        <v>752</v>
      </c>
      <c r="P130" s="6">
        <v>89</v>
      </c>
      <c r="Q130" s="6" t="s">
        <v>756</v>
      </c>
      <c r="R130" s="6" t="s">
        <v>23</v>
      </c>
      <c r="S130" s="6" t="str">
        <f t="shared" si="1"/>
        <v>RATS</v>
      </c>
    </row>
    <row r="131" spans="1:19" x14ac:dyDescent="0.25">
      <c r="A131" s="6" t="s">
        <v>570</v>
      </c>
      <c r="B131" s="6">
        <v>102</v>
      </c>
      <c r="C131" s="6" t="s">
        <v>23</v>
      </c>
      <c r="D131" s="6" t="s">
        <v>634</v>
      </c>
      <c r="E131" s="6" t="s">
        <v>684</v>
      </c>
      <c r="F131" s="6" t="s">
        <v>23</v>
      </c>
      <c r="G131" s="6" t="s">
        <v>23</v>
      </c>
      <c r="H131" s="6" t="s">
        <v>23</v>
      </c>
      <c r="I131" s="15" t="s">
        <v>756</v>
      </c>
      <c r="J131" s="6">
        <v>89</v>
      </c>
      <c r="K131" s="6" t="s">
        <v>769</v>
      </c>
      <c r="L131" s="6" t="s">
        <v>23</v>
      </c>
      <c r="M131" s="6" t="s">
        <v>23</v>
      </c>
      <c r="N131" s="6" t="s">
        <v>23</v>
      </c>
      <c r="O131" s="6" t="s">
        <v>842</v>
      </c>
      <c r="P131" s="6">
        <v>90</v>
      </c>
      <c r="Q131" s="6" t="s">
        <v>761</v>
      </c>
      <c r="R131" s="6" t="s">
        <v>23</v>
      </c>
      <c r="S131" s="6" t="str">
        <f t="shared" si="1"/>
        <v>RATS</v>
      </c>
    </row>
    <row r="132" spans="1:19" x14ac:dyDescent="0.25">
      <c r="A132" s="6" t="s">
        <v>572</v>
      </c>
      <c r="B132" s="6">
        <v>146</v>
      </c>
      <c r="C132" s="6" t="s">
        <v>23</v>
      </c>
      <c r="D132" s="6" t="s">
        <v>634</v>
      </c>
      <c r="E132" s="6" t="s">
        <v>694</v>
      </c>
      <c r="F132" s="6" t="s">
        <v>23</v>
      </c>
      <c r="G132" s="6" t="s">
        <v>23</v>
      </c>
      <c r="H132" s="6" t="s">
        <v>23</v>
      </c>
      <c r="I132" s="15" t="s">
        <v>804</v>
      </c>
      <c r="J132" s="6">
        <v>128</v>
      </c>
      <c r="K132" s="6" t="s">
        <v>705</v>
      </c>
      <c r="L132" s="6" t="s">
        <v>23</v>
      </c>
      <c r="M132" s="6" t="s">
        <v>23</v>
      </c>
      <c r="N132" s="6" t="s">
        <v>23</v>
      </c>
      <c r="O132" s="6" t="s">
        <v>708</v>
      </c>
      <c r="P132" s="6">
        <v>128</v>
      </c>
      <c r="Q132" s="6" t="s">
        <v>709</v>
      </c>
      <c r="R132" s="6" t="s">
        <v>23</v>
      </c>
      <c r="S132" s="6" t="str">
        <f t="shared" si="1"/>
        <v>RATS</v>
      </c>
    </row>
    <row r="133" spans="1:19" x14ac:dyDescent="0.25">
      <c r="A133" s="6" t="s">
        <v>573</v>
      </c>
      <c r="B133" s="6">
        <v>147</v>
      </c>
      <c r="C133" s="6" t="s">
        <v>23</v>
      </c>
      <c r="D133" s="6" t="s">
        <v>634</v>
      </c>
      <c r="E133" s="6" t="s">
        <v>694</v>
      </c>
      <c r="F133" s="6" t="s">
        <v>23</v>
      </c>
      <c r="G133" s="6" t="s">
        <v>23</v>
      </c>
      <c r="H133" s="6" t="s">
        <v>23</v>
      </c>
      <c r="I133" s="15" t="s">
        <v>825</v>
      </c>
      <c r="J133" s="6">
        <v>129</v>
      </c>
      <c r="K133" s="6" t="s">
        <v>909</v>
      </c>
      <c r="L133" s="6" t="s">
        <v>23</v>
      </c>
      <c r="M133" s="6" t="s">
        <v>23</v>
      </c>
      <c r="N133" s="6" t="s">
        <v>23</v>
      </c>
      <c r="O133" s="6" t="s">
        <v>815</v>
      </c>
      <c r="P133" s="6">
        <v>129</v>
      </c>
      <c r="Q133" s="6" t="s">
        <v>704</v>
      </c>
      <c r="R133" s="6" t="s">
        <v>23</v>
      </c>
      <c r="S133" s="6" t="str">
        <f t="shared" ref="S133:S196" si="2">IF(O133=I133,"","RATS")</f>
        <v>RATS</v>
      </c>
    </row>
    <row r="134" spans="1:19" x14ac:dyDescent="0.25">
      <c r="A134" s="6" t="s">
        <v>574</v>
      </c>
      <c r="B134" s="6">
        <v>148</v>
      </c>
      <c r="C134" s="6" t="s">
        <v>23</v>
      </c>
      <c r="D134" s="6" t="s">
        <v>634</v>
      </c>
      <c r="E134" s="6" t="s">
        <v>694</v>
      </c>
      <c r="F134" s="6" t="s">
        <v>23</v>
      </c>
      <c r="G134" s="6" t="s">
        <v>23</v>
      </c>
      <c r="H134" s="6" t="s">
        <v>23</v>
      </c>
      <c r="I134" s="15" t="s">
        <v>718</v>
      </c>
      <c r="J134" s="6">
        <v>130</v>
      </c>
      <c r="K134" s="6" t="s">
        <v>910</v>
      </c>
      <c r="L134" s="6" t="s">
        <v>23</v>
      </c>
      <c r="M134" s="6" t="s">
        <v>23</v>
      </c>
      <c r="N134" s="6" t="s">
        <v>23</v>
      </c>
      <c r="O134" s="6" t="s">
        <v>825</v>
      </c>
      <c r="P134" s="6">
        <v>130</v>
      </c>
      <c r="Q134" s="6" t="s">
        <v>909</v>
      </c>
      <c r="R134" s="6" t="s">
        <v>23</v>
      </c>
      <c r="S134" s="6" t="str">
        <f t="shared" si="2"/>
        <v>RATS</v>
      </c>
    </row>
    <row r="135" spans="1:19" x14ac:dyDescent="0.25">
      <c r="A135" s="6" t="s">
        <v>590</v>
      </c>
      <c r="B135" s="6">
        <v>149</v>
      </c>
      <c r="C135" s="6" t="s">
        <v>23</v>
      </c>
      <c r="D135" s="6" t="s">
        <v>634</v>
      </c>
      <c r="E135" s="6" t="s">
        <v>694</v>
      </c>
      <c r="F135" s="6" t="s">
        <v>23</v>
      </c>
      <c r="G135" s="6" t="s">
        <v>23</v>
      </c>
      <c r="H135" s="6" t="s">
        <v>23</v>
      </c>
      <c r="I135" s="15" t="s">
        <v>820</v>
      </c>
      <c r="J135" s="6">
        <v>131</v>
      </c>
      <c r="K135" s="6" t="s">
        <v>23</v>
      </c>
      <c r="L135" s="6" t="s">
        <v>23</v>
      </c>
      <c r="M135" s="6" t="s">
        <v>23</v>
      </c>
      <c r="N135" s="6" t="s">
        <v>23</v>
      </c>
      <c r="O135" s="6" t="s">
        <v>703</v>
      </c>
      <c r="P135" s="6">
        <v>131</v>
      </c>
      <c r="Q135" s="6" t="s">
        <v>696</v>
      </c>
      <c r="R135" s="6" t="s">
        <v>23</v>
      </c>
      <c r="S135" s="6" t="str">
        <f t="shared" si="2"/>
        <v>RATS</v>
      </c>
    </row>
    <row r="136" spans="1:19" x14ac:dyDescent="0.25">
      <c r="A136" s="6" t="s">
        <v>592</v>
      </c>
      <c r="B136" s="6">
        <v>150</v>
      </c>
      <c r="C136" s="6" t="s">
        <v>23</v>
      </c>
      <c r="D136" s="6" t="s">
        <v>634</v>
      </c>
      <c r="E136" s="6" t="s">
        <v>694</v>
      </c>
      <c r="F136" s="6" t="s">
        <v>23</v>
      </c>
      <c r="G136" s="6" t="s">
        <v>23</v>
      </c>
      <c r="H136" s="6" t="s">
        <v>23</v>
      </c>
      <c r="I136" s="15" t="s">
        <v>807</v>
      </c>
      <c r="J136" s="6">
        <v>132</v>
      </c>
      <c r="K136" s="6" t="s">
        <v>710</v>
      </c>
      <c r="L136" s="6" t="s">
        <v>23</v>
      </c>
      <c r="M136" s="6" t="s">
        <v>23</v>
      </c>
      <c r="N136" s="6" t="s">
        <v>23</v>
      </c>
      <c r="O136" s="6" t="s">
        <v>820</v>
      </c>
      <c r="P136" s="6">
        <v>132</v>
      </c>
      <c r="Q136" s="6" t="s">
        <v>911</v>
      </c>
      <c r="R136" s="6" t="s">
        <v>23</v>
      </c>
      <c r="S136" s="6" t="str">
        <f t="shared" si="2"/>
        <v>RATS</v>
      </c>
    </row>
    <row r="137" spans="1:19" x14ac:dyDescent="0.25">
      <c r="A137" s="6" t="s">
        <v>596</v>
      </c>
      <c r="B137" s="6">
        <v>151</v>
      </c>
      <c r="C137" s="6" t="s">
        <v>23</v>
      </c>
      <c r="D137" s="6" t="s">
        <v>634</v>
      </c>
      <c r="E137" s="6" t="s">
        <v>694</v>
      </c>
      <c r="F137" s="6" t="s">
        <v>23</v>
      </c>
      <c r="G137" s="6" t="s">
        <v>23</v>
      </c>
      <c r="H137" s="6" t="s">
        <v>23</v>
      </c>
      <c r="I137" s="15" t="s">
        <v>815</v>
      </c>
      <c r="J137" s="6">
        <v>133</v>
      </c>
      <c r="K137" s="6" t="s">
        <v>803</v>
      </c>
      <c r="L137" s="6" t="s">
        <v>23</v>
      </c>
      <c r="M137" s="6" t="s">
        <v>23</v>
      </c>
      <c r="N137" s="6" t="s">
        <v>23</v>
      </c>
      <c r="O137" s="6" t="s">
        <v>718</v>
      </c>
      <c r="P137" s="6">
        <v>133</v>
      </c>
      <c r="Q137" s="6" t="s">
        <v>910</v>
      </c>
      <c r="R137" s="6" t="s">
        <v>23</v>
      </c>
      <c r="S137" s="6" t="str">
        <f t="shared" si="2"/>
        <v>RATS</v>
      </c>
    </row>
    <row r="138" spans="1:19" x14ac:dyDescent="0.25">
      <c r="A138" s="6" t="s">
        <v>598</v>
      </c>
      <c r="B138" s="6">
        <v>152</v>
      </c>
      <c r="C138" s="6" t="s">
        <v>23</v>
      </c>
      <c r="D138" s="6" t="s">
        <v>634</v>
      </c>
      <c r="E138" s="6" t="s">
        <v>694</v>
      </c>
      <c r="F138" s="6" t="s">
        <v>23</v>
      </c>
      <c r="G138" s="6" t="s">
        <v>23</v>
      </c>
      <c r="H138" s="6" t="s">
        <v>23</v>
      </c>
      <c r="I138" s="15" t="s">
        <v>713</v>
      </c>
      <c r="J138" s="6">
        <v>134</v>
      </c>
      <c r="K138" s="6" t="s">
        <v>714</v>
      </c>
      <c r="L138" s="6" t="s">
        <v>23</v>
      </c>
      <c r="M138" s="6" t="s">
        <v>23</v>
      </c>
      <c r="N138" s="6" t="s">
        <v>23</v>
      </c>
      <c r="O138" s="6" t="s">
        <v>807</v>
      </c>
      <c r="P138" s="6">
        <v>134</v>
      </c>
      <c r="Q138" s="6" t="s">
        <v>700</v>
      </c>
      <c r="R138" s="6" t="s">
        <v>23</v>
      </c>
      <c r="S138" s="6" t="str">
        <f t="shared" si="2"/>
        <v>RATS</v>
      </c>
    </row>
    <row r="139" spans="1:19" x14ac:dyDescent="0.25">
      <c r="A139" s="6" t="s">
        <v>600</v>
      </c>
      <c r="B139" s="6">
        <v>195</v>
      </c>
      <c r="C139" s="6" t="s">
        <v>23</v>
      </c>
      <c r="D139" s="6" t="s">
        <v>634</v>
      </c>
      <c r="E139" s="6" t="s">
        <v>694</v>
      </c>
      <c r="F139" s="6" t="s">
        <v>23</v>
      </c>
      <c r="G139" s="6" t="s">
        <v>23</v>
      </c>
      <c r="H139" s="6" t="s">
        <v>23</v>
      </c>
      <c r="I139" s="15" t="s">
        <v>912</v>
      </c>
      <c r="J139" s="6">
        <v>173</v>
      </c>
      <c r="K139" s="6" t="s">
        <v>858</v>
      </c>
      <c r="L139" s="6" t="s">
        <v>23</v>
      </c>
      <c r="M139" s="6" t="s">
        <v>23</v>
      </c>
      <c r="N139" s="6" t="s">
        <v>23</v>
      </c>
      <c r="O139" s="6" t="s">
        <v>912</v>
      </c>
      <c r="P139" s="6">
        <v>173</v>
      </c>
      <c r="Q139" s="6" t="s">
        <v>715</v>
      </c>
      <c r="R139" s="6" t="s">
        <v>23</v>
      </c>
      <c r="S139" s="6" t="str">
        <f t="shared" si="2"/>
        <v/>
      </c>
    </row>
    <row r="140" spans="1:19" x14ac:dyDescent="0.25">
      <c r="A140" s="6" t="s">
        <v>602</v>
      </c>
      <c r="B140" s="6">
        <v>196</v>
      </c>
      <c r="C140" s="6" t="s">
        <v>23</v>
      </c>
      <c r="D140" s="6" t="s">
        <v>634</v>
      </c>
      <c r="E140" s="6" t="s">
        <v>694</v>
      </c>
      <c r="F140" s="6" t="s">
        <v>23</v>
      </c>
      <c r="G140" s="6" t="s">
        <v>23</v>
      </c>
      <c r="H140" s="6" t="s">
        <v>23</v>
      </c>
      <c r="I140" s="15" t="s">
        <v>858</v>
      </c>
      <c r="J140" s="6">
        <v>174</v>
      </c>
      <c r="K140" s="6" t="s">
        <v>850</v>
      </c>
      <c r="L140" s="6" t="s">
        <v>23</v>
      </c>
      <c r="M140" s="6" t="s">
        <v>23</v>
      </c>
      <c r="N140" s="6" t="s">
        <v>23</v>
      </c>
      <c r="O140" s="6" t="s">
        <v>23</v>
      </c>
      <c r="P140" s="6">
        <v>174</v>
      </c>
      <c r="Q140" s="6" t="s">
        <v>912</v>
      </c>
      <c r="R140" s="6" t="s">
        <v>23</v>
      </c>
      <c r="S140" s="6" t="str">
        <f t="shared" si="2"/>
        <v>RATS</v>
      </c>
    </row>
    <row r="141" spans="1:19" x14ac:dyDescent="0.25">
      <c r="A141" s="6" t="s">
        <v>604</v>
      </c>
      <c r="B141" s="6">
        <v>197</v>
      </c>
      <c r="C141" s="6" t="s">
        <v>23</v>
      </c>
      <c r="D141" s="6" t="s">
        <v>634</v>
      </c>
      <c r="E141" s="6" t="s">
        <v>694</v>
      </c>
      <c r="F141" s="6" t="s">
        <v>23</v>
      </c>
      <c r="G141" s="6" t="s">
        <v>23</v>
      </c>
      <c r="H141" s="6" t="s">
        <v>23</v>
      </c>
      <c r="I141" s="15" t="s">
        <v>850</v>
      </c>
      <c r="J141" s="6">
        <v>175</v>
      </c>
      <c r="K141" s="6" t="s">
        <v>912</v>
      </c>
      <c r="L141" s="6" t="s">
        <v>23</v>
      </c>
      <c r="M141" s="6" t="s">
        <v>23</v>
      </c>
      <c r="N141" s="6" t="s">
        <v>23</v>
      </c>
      <c r="O141" s="6" t="s">
        <v>802</v>
      </c>
      <c r="P141" s="6">
        <v>175</v>
      </c>
      <c r="Q141" s="6" t="s">
        <v>802</v>
      </c>
      <c r="R141" s="6" t="s">
        <v>23</v>
      </c>
      <c r="S141" s="6" t="str">
        <f t="shared" si="2"/>
        <v>RATS</v>
      </c>
    </row>
    <row r="142" spans="1:19" x14ac:dyDescent="0.25">
      <c r="A142" s="6" t="s">
        <v>606</v>
      </c>
      <c r="B142" s="6">
        <v>198</v>
      </c>
      <c r="C142" s="6" t="s">
        <v>23</v>
      </c>
      <c r="D142" s="6" t="s">
        <v>634</v>
      </c>
      <c r="E142" s="6" t="s">
        <v>694</v>
      </c>
      <c r="F142" s="6" t="s">
        <v>23</v>
      </c>
      <c r="G142" s="6" t="s">
        <v>23</v>
      </c>
      <c r="H142" s="6" t="s">
        <v>23</v>
      </c>
      <c r="I142" s="15" t="s">
        <v>849</v>
      </c>
      <c r="J142" s="6">
        <v>176</v>
      </c>
      <c r="K142" s="6" t="s">
        <v>849</v>
      </c>
      <c r="L142" s="6" t="s">
        <v>23</v>
      </c>
      <c r="M142" s="6" t="s">
        <v>23</v>
      </c>
      <c r="N142" s="6" t="s">
        <v>23</v>
      </c>
      <c r="O142" s="6" t="s">
        <v>850</v>
      </c>
      <c r="P142" s="6">
        <v>176</v>
      </c>
      <c r="Q142" s="6" t="s">
        <v>856</v>
      </c>
      <c r="R142" s="6" t="s">
        <v>23</v>
      </c>
      <c r="S142" s="6" t="str">
        <f t="shared" si="2"/>
        <v>RATS</v>
      </c>
    </row>
    <row r="143" spans="1:19" x14ac:dyDescent="0.25">
      <c r="A143" s="6" t="s">
        <v>607</v>
      </c>
      <c r="B143" s="6">
        <v>10</v>
      </c>
      <c r="C143" s="6" t="s">
        <v>913</v>
      </c>
      <c r="D143" s="6" t="s">
        <v>634</v>
      </c>
      <c r="E143" s="6" t="s">
        <v>810</v>
      </c>
      <c r="F143" s="6" t="s">
        <v>23</v>
      </c>
      <c r="G143" s="6" t="s">
        <v>23</v>
      </c>
      <c r="H143" s="6" t="s">
        <v>23</v>
      </c>
      <c r="I143" s="15" t="s">
        <v>812</v>
      </c>
      <c r="J143" s="6">
        <v>7</v>
      </c>
      <c r="K143" s="6" t="s">
        <v>873</v>
      </c>
      <c r="L143" s="6" t="s">
        <v>23</v>
      </c>
      <c r="M143" s="6" t="s">
        <v>23</v>
      </c>
      <c r="N143" s="6" t="s">
        <v>23</v>
      </c>
      <c r="O143" s="6" t="s">
        <v>711</v>
      </c>
      <c r="P143" s="6">
        <v>7</v>
      </c>
      <c r="Q143" s="6" t="s">
        <v>816</v>
      </c>
      <c r="R143" s="6" t="s">
        <v>23</v>
      </c>
      <c r="S143" s="6" t="str">
        <f t="shared" si="2"/>
        <v>RATS</v>
      </c>
    </row>
    <row r="144" spans="1:19" x14ac:dyDescent="0.25">
      <c r="A144" s="6" t="s">
        <v>608</v>
      </c>
      <c r="B144" s="6">
        <v>15</v>
      </c>
      <c r="C144" s="6" t="s">
        <v>23</v>
      </c>
      <c r="D144" s="6" t="s">
        <v>634</v>
      </c>
      <c r="E144" s="6" t="s">
        <v>694</v>
      </c>
      <c r="F144" s="6" t="s">
        <v>23</v>
      </c>
      <c r="G144" s="6" t="s">
        <v>23</v>
      </c>
      <c r="H144" s="6" t="s">
        <v>23</v>
      </c>
      <c r="I144" s="15" t="s">
        <v>23</v>
      </c>
      <c r="J144" s="6">
        <v>11</v>
      </c>
      <c r="K144" s="6" t="s">
        <v>699</v>
      </c>
      <c r="L144" s="6" t="s">
        <v>23</v>
      </c>
      <c r="M144" s="6" t="s">
        <v>23</v>
      </c>
      <c r="N144" s="6" t="s">
        <v>23</v>
      </c>
      <c r="O144" s="6" t="s">
        <v>23</v>
      </c>
      <c r="P144" s="6">
        <v>11</v>
      </c>
      <c r="Q144" s="6" t="s">
        <v>854</v>
      </c>
      <c r="R144" s="6" t="s">
        <v>23</v>
      </c>
      <c r="S144" s="6" t="str">
        <f t="shared" si="2"/>
        <v/>
      </c>
    </row>
    <row r="145" spans="1:19" x14ac:dyDescent="0.25">
      <c r="A145" s="6" t="s">
        <v>594</v>
      </c>
      <c r="B145" s="6">
        <v>16</v>
      </c>
      <c r="C145" s="6" t="s">
        <v>23</v>
      </c>
      <c r="D145" s="6" t="s">
        <v>634</v>
      </c>
      <c r="E145" s="6" t="s">
        <v>694</v>
      </c>
      <c r="F145" s="6" t="s">
        <v>23</v>
      </c>
      <c r="G145" s="6" t="s">
        <v>23</v>
      </c>
      <c r="H145" s="6" t="s">
        <v>23</v>
      </c>
      <c r="I145" s="15" t="s">
        <v>23</v>
      </c>
      <c r="J145" s="6">
        <v>12</v>
      </c>
      <c r="K145" s="6" t="s">
        <v>707</v>
      </c>
      <c r="L145" s="6" t="s">
        <v>23</v>
      </c>
      <c r="M145" s="6" t="s">
        <v>23</v>
      </c>
      <c r="N145" s="6" t="s">
        <v>23</v>
      </c>
      <c r="O145" s="6" t="s">
        <v>23</v>
      </c>
      <c r="P145" s="6">
        <v>12</v>
      </c>
      <c r="Q145" s="6" t="s">
        <v>711</v>
      </c>
      <c r="R145" s="6" t="s">
        <v>23</v>
      </c>
      <c r="S145" s="6" t="str">
        <f t="shared" si="2"/>
        <v/>
      </c>
    </row>
    <row r="146" spans="1:19" x14ac:dyDescent="0.25">
      <c r="A146" s="6" t="s">
        <v>595</v>
      </c>
      <c r="B146" s="6">
        <v>17</v>
      </c>
      <c r="C146" s="6" t="s">
        <v>914</v>
      </c>
      <c r="D146" s="6" t="s">
        <v>634</v>
      </c>
      <c r="E146" s="6" t="s">
        <v>706</v>
      </c>
      <c r="F146" s="6" t="s">
        <v>23</v>
      </c>
      <c r="G146" s="6" t="s">
        <v>23</v>
      </c>
      <c r="H146" s="6" t="s">
        <v>23</v>
      </c>
      <c r="I146" s="15" t="s">
        <v>23</v>
      </c>
      <c r="J146" s="6">
        <v>13</v>
      </c>
      <c r="K146" s="6" t="s">
        <v>874</v>
      </c>
      <c r="L146" s="6" t="s">
        <v>23</v>
      </c>
      <c r="M146" s="6" t="s">
        <v>23</v>
      </c>
      <c r="N146" s="6" t="s">
        <v>23</v>
      </c>
      <c r="O146" s="6" t="s">
        <v>707</v>
      </c>
      <c r="P146" s="6">
        <v>13</v>
      </c>
      <c r="Q146" s="6" t="s">
        <v>812</v>
      </c>
      <c r="R146" s="6" t="s">
        <v>23</v>
      </c>
      <c r="S146" s="6" t="str">
        <f t="shared" si="2"/>
        <v>RATS</v>
      </c>
    </row>
    <row r="147" spans="1:19" x14ac:dyDescent="0.25">
      <c r="A147" s="6" t="s">
        <v>915</v>
      </c>
      <c r="B147" s="6">
        <v>8</v>
      </c>
      <c r="D147" s="6" t="s">
        <v>916</v>
      </c>
      <c r="E147" s="6" t="s">
        <v>23</v>
      </c>
      <c r="F147" s="6" t="s">
        <v>716</v>
      </c>
      <c r="G147" s="6">
        <v>6</v>
      </c>
      <c r="H147" s="6">
        <v>6</v>
      </c>
      <c r="I147" s="15" t="s">
        <v>702</v>
      </c>
      <c r="J147" s="6">
        <v>6</v>
      </c>
      <c r="K147" s="6" t="s">
        <v>817</v>
      </c>
      <c r="L147" s="6">
        <v>1</v>
      </c>
      <c r="M147" s="6">
        <v>6</v>
      </c>
      <c r="N147" s="6">
        <v>6</v>
      </c>
      <c r="O147" s="6" t="s">
        <v>873</v>
      </c>
      <c r="P147" s="6">
        <v>6</v>
      </c>
      <c r="Q147" s="6" t="s">
        <v>702</v>
      </c>
      <c r="R147" s="6">
        <v>1</v>
      </c>
      <c r="S147" s="6" t="str">
        <f t="shared" si="2"/>
        <v>RATS</v>
      </c>
    </row>
    <row r="148" spans="1:19" x14ac:dyDescent="0.25">
      <c r="A148" s="6" t="s">
        <v>917</v>
      </c>
      <c r="B148" s="6">
        <v>93</v>
      </c>
      <c r="D148" s="6" t="s">
        <v>916</v>
      </c>
      <c r="E148" s="6" t="s">
        <v>23</v>
      </c>
      <c r="F148" s="6" t="s">
        <v>918</v>
      </c>
      <c r="G148" s="6">
        <v>49</v>
      </c>
      <c r="H148" s="6">
        <v>71</v>
      </c>
      <c r="I148" s="15" t="s">
        <v>871</v>
      </c>
      <c r="J148" s="6">
        <v>81</v>
      </c>
      <c r="K148" s="6" t="s">
        <v>770</v>
      </c>
      <c r="L148" s="6">
        <v>30</v>
      </c>
      <c r="M148" s="6">
        <v>48</v>
      </c>
      <c r="N148" s="6">
        <v>70</v>
      </c>
      <c r="O148" s="6" t="s">
        <v>872</v>
      </c>
      <c r="P148" s="6">
        <v>81</v>
      </c>
      <c r="Q148" s="6" t="s">
        <v>749</v>
      </c>
      <c r="R148" s="6">
        <v>31</v>
      </c>
      <c r="S148" s="6" t="str">
        <f t="shared" si="2"/>
        <v>RATS</v>
      </c>
    </row>
    <row r="149" spans="1:19" x14ac:dyDescent="0.25">
      <c r="A149" s="6" t="s">
        <v>917</v>
      </c>
      <c r="B149" s="6">
        <v>192</v>
      </c>
      <c r="D149" s="6" t="s">
        <v>916</v>
      </c>
      <c r="E149" s="6" t="s">
        <v>23</v>
      </c>
      <c r="F149" s="6" t="s">
        <v>737</v>
      </c>
      <c r="G149" s="6">
        <v>98</v>
      </c>
      <c r="H149" s="6">
        <v>142</v>
      </c>
      <c r="I149" s="15" t="s">
        <v>746</v>
      </c>
      <c r="J149" s="6">
        <v>171</v>
      </c>
      <c r="K149" s="6" t="s">
        <v>819</v>
      </c>
      <c r="L149" s="6">
        <v>62</v>
      </c>
      <c r="M149" s="6">
        <v>98</v>
      </c>
      <c r="N149" s="6">
        <v>142</v>
      </c>
      <c r="O149" s="6" t="s">
        <v>747</v>
      </c>
      <c r="P149" s="6">
        <v>171</v>
      </c>
      <c r="Q149" s="6" t="s">
        <v>738</v>
      </c>
      <c r="R149" s="6">
        <v>66</v>
      </c>
      <c r="S149" s="6" t="str">
        <f t="shared" si="2"/>
        <v>RATS</v>
      </c>
    </row>
    <row r="150" spans="1:19" x14ac:dyDescent="0.25">
      <c r="A150" s="6" t="s">
        <v>919</v>
      </c>
      <c r="B150" s="6">
        <v>6</v>
      </c>
      <c r="D150" s="6" t="s">
        <v>916</v>
      </c>
      <c r="E150" s="6" t="s">
        <v>23</v>
      </c>
      <c r="F150" s="6" t="s">
        <v>849</v>
      </c>
      <c r="G150" s="6" t="s">
        <v>23</v>
      </c>
      <c r="H150" s="6" t="s">
        <v>23</v>
      </c>
      <c r="I150" s="15" t="s">
        <v>23</v>
      </c>
      <c r="J150" s="6" t="s">
        <v>23</v>
      </c>
      <c r="K150" s="6" t="s">
        <v>23</v>
      </c>
      <c r="L150" s="6" t="s">
        <v>23</v>
      </c>
      <c r="M150" s="6" t="s">
        <v>23</v>
      </c>
      <c r="N150" s="6" t="s">
        <v>23</v>
      </c>
      <c r="O150" s="6" t="s">
        <v>23</v>
      </c>
      <c r="P150" s="6" t="s">
        <v>23</v>
      </c>
      <c r="Q150" s="6" t="s">
        <v>23</v>
      </c>
      <c r="R150" s="6" t="s">
        <v>23</v>
      </c>
      <c r="S150" s="6" t="str">
        <f t="shared" si="2"/>
        <v/>
      </c>
    </row>
    <row r="151" spans="1:19" x14ac:dyDescent="0.25">
      <c r="A151" s="6" t="s">
        <v>919</v>
      </c>
      <c r="B151" s="6">
        <v>19</v>
      </c>
      <c r="D151" s="6" t="s">
        <v>916</v>
      </c>
      <c r="E151" s="6" t="s">
        <v>23</v>
      </c>
      <c r="F151" s="6" t="s">
        <v>23</v>
      </c>
      <c r="G151" s="6" t="s">
        <v>23</v>
      </c>
      <c r="H151" s="6" t="s">
        <v>23</v>
      </c>
      <c r="I151" s="15" t="s">
        <v>817</v>
      </c>
      <c r="J151" s="6">
        <v>15</v>
      </c>
      <c r="K151" s="6" t="s">
        <v>848</v>
      </c>
      <c r="L151" s="6" t="s">
        <v>23</v>
      </c>
      <c r="M151" s="6" t="s">
        <v>23</v>
      </c>
      <c r="N151" s="6" t="s">
        <v>23</v>
      </c>
      <c r="O151" s="6" t="s">
        <v>813</v>
      </c>
      <c r="P151" s="6">
        <v>15</v>
      </c>
      <c r="Q151" s="6" t="s">
        <v>729</v>
      </c>
      <c r="R151" s="6" t="s">
        <v>23</v>
      </c>
      <c r="S151" s="6" t="str">
        <f t="shared" si="2"/>
        <v>RATS</v>
      </c>
    </row>
    <row r="152" spans="1:19" x14ac:dyDescent="0.25">
      <c r="A152" s="6" t="s">
        <v>919</v>
      </c>
      <c r="B152" s="6">
        <v>27</v>
      </c>
      <c r="D152" s="6" t="s">
        <v>916</v>
      </c>
      <c r="E152" s="6" t="s">
        <v>23</v>
      </c>
      <c r="F152" s="6" t="s">
        <v>826</v>
      </c>
      <c r="G152" s="6">
        <v>11</v>
      </c>
      <c r="H152" s="6">
        <v>17</v>
      </c>
      <c r="I152" s="15" t="s">
        <v>879</v>
      </c>
      <c r="J152" s="6">
        <v>23</v>
      </c>
      <c r="K152" s="6" t="s">
        <v>812</v>
      </c>
      <c r="L152" s="6" t="s">
        <v>23</v>
      </c>
      <c r="M152" s="6">
        <v>11</v>
      </c>
      <c r="N152" s="6">
        <v>17</v>
      </c>
      <c r="O152" s="6" t="s">
        <v>879</v>
      </c>
      <c r="P152" s="6">
        <v>23</v>
      </c>
      <c r="Q152" s="6" t="s">
        <v>874</v>
      </c>
      <c r="R152" s="6" t="s">
        <v>23</v>
      </c>
      <c r="S152" s="6" t="str">
        <f t="shared" si="2"/>
        <v/>
      </c>
    </row>
    <row r="153" spans="1:19" x14ac:dyDescent="0.25">
      <c r="A153" s="6" t="s">
        <v>919</v>
      </c>
      <c r="B153" s="6">
        <v>40</v>
      </c>
      <c r="D153" s="6" t="s">
        <v>916</v>
      </c>
      <c r="E153" s="6" t="s">
        <v>23</v>
      </c>
      <c r="F153" s="6" t="s">
        <v>879</v>
      </c>
      <c r="G153" s="6" t="s">
        <v>23</v>
      </c>
      <c r="H153" s="6" t="s">
        <v>23</v>
      </c>
      <c r="I153" s="15" t="s">
        <v>23</v>
      </c>
      <c r="J153" s="6">
        <v>35</v>
      </c>
      <c r="K153" s="6" t="s">
        <v>639</v>
      </c>
      <c r="L153" s="6" t="s">
        <v>23</v>
      </c>
      <c r="M153" s="6" t="s">
        <v>23</v>
      </c>
      <c r="N153" s="6">
        <v>30</v>
      </c>
      <c r="O153" s="6" t="s">
        <v>920</v>
      </c>
      <c r="P153" s="6">
        <v>36</v>
      </c>
      <c r="Q153" s="6" t="s">
        <v>685</v>
      </c>
      <c r="R153" s="6" t="s">
        <v>23</v>
      </c>
      <c r="S153" s="6" t="str">
        <f t="shared" si="2"/>
        <v>RATS</v>
      </c>
    </row>
    <row r="154" spans="1:19" x14ac:dyDescent="0.25">
      <c r="A154" s="6" t="s">
        <v>919</v>
      </c>
      <c r="B154" s="6">
        <v>50</v>
      </c>
      <c r="D154" s="6" t="s">
        <v>916</v>
      </c>
      <c r="E154" s="6" t="s">
        <v>23</v>
      </c>
      <c r="F154" s="6" t="s">
        <v>773</v>
      </c>
      <c r="G154" s="6" t="s">
        <v>23</v>
      </c>
      <c r="H154" s="6" t="s">
        <v>23</v>
      </c>
      <c r="I154" s="15" t="s">
        <v>23</v>
      </c>
      <c r="J154" s="6" t="s">
        <v>23</v>
      </c>
      <c r="K154" s="6" t="s">
        <v>669</v>
      </c>
      <c r="L154" s="6" t="s">
        <v>23</v>
      </c>
      <c r="M154" s="6" t="s">
        <v>23</v>
      </c>
      <c r="N154" s="6" t="s">
        <v>23</v>
      </c>
      <c r="O154" s="6" t="s">
        <v>23</v>
      </c>
      <c r="P154" s="6" t="s">
        <v>23</v>
      </c>
      <c r="Q154" s="6" t="s">
        <v>661</v>
      </c>
      <c r="R154" s="6" t="s">
        <v>23</v>
      </c>
      <c r="S154" s="6" t="str">
        <f t="shared" si="2"/>
        <v/>
      </c>
    </row>
    <row r="155" spans="1:19" x14ac:dyDescent="0.25">
      <c r="A155" s="6" t="s">
        <v>919</v>
      </c>
      <c r="B155" s="6">
        <v>57</v>
      </c>
      <c r="D155" s="6" t="s">
        <v>916</v>
      </c>
      <c r="E155" s="6" t="s">
        <v>23</v>
      </c>
      <c r="F155" s="6" t="s">
        <v>904</v>
      </c>
      <c r="G155" s="6">
        <v>27</v>
      </c>
      <c r="H155" s="6">
        <v>38</v>
      </c>
      <c r="I155" s="15" t="s">
        <v>646</v>
      </c>
      <c r="J155" s="6">
        <v>46</v>
      </c>
      <c r="K155" s="6" t="s">
        <v>728</v>
      </c>
      <c r="L155" s="6">
        <v>19</v>
      </c>
      <c r="M155" s="6">
        <v>28</v>
      </c>
      <c r="N155" s="6">
        <v>39</v>
      </c>
      <c r="O155" s="6" t="s">
        <v>670</v>
      </c>
      <c r="P155" s="6">
        <v>49</v>
      </c>
      <c r="Q155" s="6" t="s">
        <v>860</v>
      </c>
      <c r="R155" s="6">
        <v>19</v>
      </c>
      <c r="S155" s="6" t="str">
        <f t="shared" si="2"/>
        <v>RATS</v>
      </c>
    </row>
    <row r="156" spans="1:19" x14ac:dyDescent="0.25">
      <c r="A156" s="6" t="s">
        <v>919</v>
      </c>
      <c r="B156" s="6">
        <v>64</v>
      </c>
      <c r="D156" s="6" t="s">
        <v>916</v>
      </c>
      <c r="E156" s="6" t="s">
        <v>23</v>
      </c>
      <c r="F156" s="6" t="s">
        <v>921</v>
      </c>
      <c r="G156" s="6" t="s">
        <v>23</v>
      </c>
      <c r="H156" s="6" t="s">
        <v>23</v>
      </c>
      <c r="I156" s="15" t="s">
        <v>23</v>
      </c>
      <c r="J156" s="6" t="s">
        <v>23</v>
      </c>
      <c r="K156" s="6" t="s">
        <v>656</v>
      </c>
      <c r="L156" s="6" t="s">
        <v>23</v>
      </c>
      <c r="M156" s="6" t="s">
        <v>23</v>
      </c>
      <c r="N156" s="6" t="s">
        <v>23</v>
      </c>
      <c r="O156" s="6" t="s">
        <v>23</v>
      </c>
      <c r="P156" s="6" t="s">
        <v>23</v>
      </c>
      <c r="Q156" s="6" t="s">
        <v>23</v>
      </c>
      <c r="R156" s="6" t="s">
        <v>23</v>
      </c>
      <c r="S156" s="6" t="str">
        <f t="shared" si="2"/>
        <v/>
      </c>
    </row>
    <row r="157" spans="1:19" x14ac:dyDescent="0.25">
      <c r="A157" s="6" t="s">
        <v>919</v>
      </c>
      <c r="B157" s="6">
        <v>71</v>
      </c>
      <c r="D157" s="6" t="s">
        <v>916</v>
      </c>
      <c r="E157" s="6" t="s">
        <v>23</v>
      </c>
      <c r="F157" s="6" t="s">
        <v>23</v>
      </c>
      <c r="G157" s="6" t="s">
        <v>23</v>
      </c>
      <c r="H157" s="6">
        <v>49</v>
      </c>
      <c r="I157" s="15" t="s">
        <v>790</v>
      </c>
      <c r="J157" s="6">
        <v>59</v>
      </c>
      <c r="K157" s="6" t="s">
        <v>23</v>
      </c>
      <c r="L157" s="6" t="s">
        <v>23</v>
      </c>
      <c r="M157" s="6" t="s">
        <v>23</v>
      </c>
      <c r="N157" s="6">
        <v>52</v>
      </c>
      <c r="O157" s="6" t="s">
        <v>790</v>
      </c>
      <c r="P157" s="6">
        <v>62</v>
      </c>
      <c r="Q157" s="6" t="s">
        <v>865</v>
      </c>
      <c r="R157" s="6" t="s">
        <v>23</v>
      </c>
      <c r="S157" s="6" t="str">
        <f t="shared" si="2"/>
        <v/>
      </c>
    </row>
    <row r="158" spans="1:19" x14ac:dyDescent="0.25">
      <c r="A158" s="6" t="s">
        <v>919</v>
      </c>
      <c r="B158" s="6">
        <v>81</v>
      </c>
      <c r="D158" s="6" t="s">
        <v>916</v>
      </c>
      <c r="E158" s="6" t="s">
        <v>23</v>
      </c>
      <c r="F158" s="6" t="s">
        <v>23</v>
      </c>
      <c r="G158" s="6" t="s">
        <v>23</v>
      </c>
      <c r="H158" s="6">
        <v>59</v>
      </c>
      <c r="I158" s="15" t="s">
        <v>23</v>
      </c>
      <c r="J158" s="6">
        <v>69</v>
      </c>
      <c r="K158" s="6" t="s">
        <v>23</v>
      </c>
      <c r="L158" s="6" t="s">
        <v>23</v>
      </c>
      <c r="M158" s="6" t="s">
        <v>23</v>
      </c>
      <c r="N158" s="6">
        <v>62</v>
      </c>
      <c r="O158" s="6" t="s">
        <v>23</v>
      </c>
      <c r="P158" s="6">
        <v>72</v>
      </c>
      <c r="Q158" s="6" t="s">
        <v>23</v>
      </c>
      <c r="R158" s="6" t="s">
        <v>23</v>
      </c>
      <c r="S158" s="6" t="str">
        <f t="shared" si="2"/>
        <v/>
      </c>
    </row>
    <row r="159" spans="1:19" x14ac:dyDescent="0.25">
      <c r="A159" s="6" t="s">
        <v>919</v>
      </c>
      <c r="B159" s="6">
        <v>95</v>
      </c>
      <c r="D159" s="6" t="s">
        <v>916</v>
      </c>
      <c r="E159" s="6" t="s">
        <v>23</v>
      </c>
      <c r="F159" s="6" t="s">
        <v>23</v>
      </c>
      <c r="G159" s="6">
        <v>51</v>
      </c>
      <c r="H159" s="6">
        <v>73</v>
      </c>
      <c r="I159" s="15" t="s">
        <v>752</v>
      </c>
      <c r="J159" s="6">
        <v>83</v>
      </c>
      <c r="K159" s="6" t="s">
        <v>907</v>
      </c>
      <c r="L159" s="6">
        <v>32</v>
      </c>
      <c r="M159" s="6">
        <v>50</v>
      </c>
      <c r="N159" s="6">
        <v>72</v>
      </c>
      <c r="O159" s="6" t="s">
        <v>871</v>
      </c>
      <c r="P159" s="6">
        <v>83</v>
      </c>
      <c r="Q159" s="6" t="s">
        <v>872</v>
      </c>
      <c r="R159" s="6">
        <v>33</v>
      </c>
      <c r="S159" s="6" t="str">
        <f t="shared" si="2"/>
        <v>RATS</v>
      </c>
    </row>
    <row r="160" spans="1:19" x14ac:dyDescent="0.25">
      <c r="A160" s="6" t="s">
        <v>919</v>
      </c>
      <c r="B160" s="6">
        <v>104</v>
      </c>
      <c r="D160" s="6" t="s">
        <v>916</v>
      </c>
      <c r="E160" s="6" t="s">
        <v>23</v>
      </c>
      <c r="F160" s="6" t="s">
        <v>23</v>
      </c>
      <c r="G160" s="6" t="s">
        <v>23</v>
      </c>
      <c r="H160" s="6" t="s">
        <v>23</v>
      </c>
      <c r="I160" s="15" t="s">
        <v>23</v>
      </c>
      <c r="J160" s="6">
        <v>91</v>
      </c>
      <c r="K160" s="6" t="s">
        <v>895</v>
      </c>
      <c r="L160" s="6" t="s">
        <v>23</v>
      </c>
      <c r="M160" s="6" t="s">
        <v>23</v>
      </c>
      <c r="N160" s="6" t="s">
        <v>23</v>
      </c>
      <c r="O160" s="6" t="s">
        <v>834</v>
      </c>
      <c r="P160" s="6">
        <v>91</v>
      </c>
      <c r="Q160" s="6" t="s">
        <v>895</v>
      </c>
      <c r="R160" s="6" t="s">
        <v>23</v>
      </c>
      <c r="S160" s="6" t="str">
        <f t="shared" si="2"/>
        <v>RATS</v>
      </c>
    </row>
    <row r="161" spans="1:19" x14ac:dyDescent="0.25">
      <c r="A161" s="6" t="s">
        <v>919</v>
      </c>
      <c r="B161" s="6">
        <v>117</v>
      </c>
      <c r="D161" s="6" t="s">
        <v>916</v>
      </c>
      <c r="E161" s="6" t="s">
        <v>23</v>
      </c>
      <c r="F161" s="6" t="s">
        <v>23</v>
      </c>
      <c r="G161" s="6" t="s">
        <v>23</v>
      </c>
      <c r="H161" s="6">
        <v>84</v>
      </c>
      <c r="I161" s="15" t="s">
        <v>847</v>
      </c>
      <c r="J161" s="6">
        <v>103</v>
      </c>
      <c r="K161" s="6" t="s">
        <v>23</v>
      </c>
      <c r="L161" s="6" t="s">
        <v>23</v>
      </c>
      <c r="M161" s="6" t="s">
        <v>23</v>
      </c>
      <c r="N161" s="6">
        <v>84</v>
      </c>
      <c r="O161" s="6" t="s">
        <v>893</v>
      </c>
      <c r="P161" s="6">
        <v>103</v>
      </c>
      <c r="Q161" s="6" t="s">
        <v>847</v>
      </c>
      <c r="R161" s="6" t="s">
        <v>23</v>
      </c>
      <c r="S161" s="6" t="str">
        <f t="shared" si="2"/>
        <v>RATS</v>
      </c>
    </row>
    <row r="162" spans="1:19" x14ac:dyDescent="0.25">
      <c r="A162" s="6" t="s">
        <v>919</v>
      </c>
      <c r="B162" s="6">
        <v>120</v>
      </c>
      <c r="D162" s="6" t="s">
        <v>916</v>
      </c>
      <c r="E162" s="6" t="s">
        <v>23</v>
      </c>
      <c r="F162" s="6" t="s">
        <v>23</v>
      </c>
      <c r="G162" s="6" t="s">
        <v>23</v>
      </c>
      <c r="H162" s="6" t="s">
        <v>23</v>
      </c>
      <c r="I162" s="15" t="s">
        <v>23</v>
      </c>
      <c r="J162" s="6" t="s">
        <v>23</v>
      </c>
      <c r="K162" s="6" t="s">
        <v>23</v>
      </c>
      <c r="L162" s="6" t="s">
        <v>23</v>
      </c>
      <c r="M162" s="6" t="s">
        <v>23</v>
      </c>
      <c r="N162" s="6" t="s">
        <v>23</v>
      </c>
      <c r="O162" s="6" t="s">
        <v>23</v>
      </c>
      <c r="P162" s="6" t="s">
        <v>23</v>
      </c>
      <c r="Q162" s="6" t="s">
        <v>23</v>
      </c>
      <c r="R162" s="6" t="s">
        <v>23</v>
      </c>
      <c r="S162" s="6" t="str">
        <f t="shared" si="2"/>
        <v/>
      </c>
    </row>
    <row r="163" spans="1:19" x14ac:dyDescent="0.25">
      <c r="A163" s="6" t="s">
        <v>919</v>
      </c>
      <c r="B163" s="6">
        <v>130</v>
      </c>
      <c r="D163" s="6" t="s">
        <v>916</v>
      </c>
      <c r="E163" s="6" t="s">
        <v>23</v>
      </c>
      <c r="F163" s="6" t="s">
        <v>23</v>
      </c>
      <c r="G163" s="6" t="s">
        <v>23</v>
      </c>
      <c r="H163" s="6">
        <v>95</v>
      </c>
      <c r="I163" s="15" t="s">
        <v>23</v>
      </c>
      <c r="J163" s="6">
        <v>114</v>
      </c>
      <c r="K163" s="6" t="s">
        <v>23</v>
      </c>
      <c r="L163" s="6" t="s">
        <v>23</v>
      </c>
      <c r="M163" s="6" t="s">
        <v>23</v>
      </c>
      <c r="N163" s="6">
        <v>95</v>
      </c>
      <c r="O163" s="6" t="s">
        <v>23</v>
      </c>
      <c r="P163" s="6">
        <v>114</v>
      </c>
      <c r="Q163" s="6" t="s">
        <v>23</v>
      </c>
      <c r="R163" s="6" t="s">
        <v>23</v>
      </c>
      <c r="S163" s="6" t="str">
        <f t="shared" si="2"/>
        <v/>
      </c>
    </row>
    <row r="164" spans="1:19" x14ac:dyDescent="0.25">
      <c r="A164" s="6" t="s">
        <v>919</v>
      </c>
      <c r="B164" s="6">
        <v>136</v>
      </c>
      <c r="D164" s="6" t="s">
        <v>916</v>
      </c>
      <c r="E164" s="6" t="s">
        <v>23</v>
      </c>
      <c r="F164" s="6" t="s">
        <v>23</v>
      </c>
      <c r="G164" s="6" t="s">
        <v>23</v>
      </c>
      <c r="H164" s="6" t="s">
        <v>23</v>
      </c>
      <c r="I164" s="15" t="s">
        <v>23</v>
      </c>
      <c r="J164" s="6" t="s">
        <v>23</v>
      </c>
      <c r="K164" s="6" t="s">
        <v>23</v>
      </c>
      <c r="L164" s="6" t="s">
        <v>23</v>
      </c>
      <c r="M164" s="6" t="s">
        <v>23</v>
      </c>
      <c r="N164" s="6" t="s">
        <v>23</v>
      </c>
      <c r="O164" s="6" t="s">
        <v>23</v>
      </c>
      <c r="P164" s="6" t="s">
        <v>23</v>
      </c>
      <c r="Q164" s="6" t="s">
        <v>796</v>
      </c>
      <c r="R164" s="6" t="s">
        <v>23</v>
      </c>
      <c r="S164" s="6" t="str">
        <f t="shared" si="2"/>
        <v/>
      </c>
    </row>
    <row r="165" spans="1:19" x14ac:dyDescent="0.25">
      <c r="A165" s="6" t="s">
        <v>919</v>
      </c>
      <c r="B165" s="6">
        <v>144</v>
      </c>
      <c r="D165" s="6" t="s">
        <v>916</v>
      </c>
      <c r="E165" s="6" t="s">
        <v>23</v>
      </c>
      <c r="F165" s="6" t="s">
        <v>23</v>
      </c>
      <c r="G165" s="6">
        <v>75</v>
      </c>
      <c r="H165" s="6">
        <v>108</v>
      </c>
      <c r="I165" s="15" t="s">
        <v>909</v>
      </c>
      <c r="J165" s="6">
        <v>127</v>
      </c>
      <c r="K165" s="6" t="s">
        <v>709</v>
      </c>
      <c r="L165" s="6">
        <v>48</v>
      </c>
      <c r="M165" s="6">
        <v>75</v>
      </c>
      <c r="N165" s="6">
        <v>108</v>
      </c>
      <c r="O165" s="6" t="s">
        <v>700</v>
      </c>
      <c r="P165" s="6">
        <v>127</v>
      </c>
      <c r="Q165" s="6" t="s">
        <v>691</v>
      </c>
      <c r="R165" s="6">
        <v>51</v>
      </c>
      <c r="S165" s="6" t="str">
        <f t="shared" si="2"/>
        <v>RATS</v>
      </c>
    </row>
    <row r="166" spans="1:19" x14ac:dyDescent="0.25">
      <c r="A166" s="6" t="s">
        <v>919</v>
      </c>
      <c r="B166" s="6">
        <v>154</v>
      </c>
      <c r="D166" s="6" t="s">
        <v>916</v>
      </c>
      <c r="E166" s="6" t="s">
        <v>23</v>
      </c>
      <c r="F166" s="6" t="s">
        <v>23</v>
      </c>
      <c r="G166" s="6" t="s">
        <v>23</v>
      </c>
      <c r="H166" s="6" t="s">
        <v>23</v>
      </c>
      <c r="I166" s="15" t="s">
        <v>901</v>
      </c>
      <c r="J166" s="6">
        <v>136</v>
      </c>
      <c r="K166" s="6" t="s">
        <v>630</v>
      </c>
      <c r="L166" s="6" t="s">
        <v>23</v>
      </c>
      <c r="M166" s="6" t="s">
        <v>23</v>
      </c>
      <c r="N166" s="6" t="s">
        <v>23</v>
      </c>
      <c r="O166" s="6" t="s">
        <v>733</v>
      </c>
      <c r="P166" s="6">
        <v>136</v>
      </c>
      <c r="Q166" s="6" t="s">
        <v>811</v>
      </c>
      <c r="R166" s="6" t="s">
        <v>23</v>
      </c>
      <c r="S166" s="6" t="str">
        <f t="shared" si="2"/>
        <v>RATS</v>
      </c>
    </row>
    <row r="167" spans="1:19" x14ac:dyDescent="0.25">
      <c r="A167" s="6" t="s">
        <v>919</v>
      </c>
      <c r="B167" s="6">
        <v>161</v>
      </c>
      <c r="D167" s="6" t="s">
        <v>916</v>
      </c>
      <c r="E167" s="6" t="s">
        <v>23</v>
      </c>
      <c r="F167" s="6" t="s">
        <v>23</v>
      </c>
      <c r="G167" s="6" t="s">
        <v>23</v>
      </c>
      <c r="H167" s="6" t="s">
        <v>23</v>
      </c>
      <c r="I167" s="15" t="s">
        <v>805</v>
      </c>
      <c r="J167" s="6" t="s">
        <v>23</v>
      </c>
      <c r="K167" s="6" t="s">
        <v>815</v>
      </c>
      <c r="L167" s="6" t="s">
        <v>23</v>
      </c>
      <c r="M167" s="6" t="s">
        <v>23</v>
      </c>
      <c r="N167" s="6" t="s">
        <v>23</v>
      </c>
      <c r="O167" s="6" t="s">
        <v>23</v>
      </c>
      <c r="P167" s="6" t="s">
        <v>23</v>
      </c>
      <c r="Q167" s="6" t="s">
        <v>23</v>
      </c>
      <c r="R167" s="6" t="s">
        <v>23</v>
      </c>
      <c r="S167" s="6" t="str">
        <f t="shared" si="2"/>
        <v>RATS</v>
      </c>
    </row>
    <row r="168" spans="1:19" x14ac:dyDescent="0.25">
      <c r="A168" s="6" t="s">
        <v>919</v>
      </c>
      <c r="B168" s="6">
        <v>180</v>
      </c>
      <c r="D168" s="6" t="s">
        <v>916</v>
      </c>
      <c r="E168" s="6" t="s">
        <v>23</v>
      </c>
      <c r="F168" s="6" t="s">
        <v>23</v>
      </c>
      <c r="G168" s="6" t="s">
        <v>23</v>
      </c>
      <c r="H168" s="6">
        <v>130</v>
      </c>
      <c r="I168" s="15" t="s">
        <v>819</v>
      </c>
      <c r="J168" s="6">
        <v>159</v>
      </c>
      <c r="K168" s="6" t="s">
        <v>23</v>
      </c>
      <c r="L168" s="6" t="s">
        <v>23</v>
      </c>
      <c r="M168" s="6" t="s">
        <v>23</v>
      </c>
      <c r="N168" s="6">
        <v>131</v>
      </c>
      <c r="O168" s="6" t="s">
        <v>23</v>
      </c>
      <c r="P168" s="6">
        <v>159</v>
      </c>
      <c r="Q168" s="6" t="s">
        <v>735</v>
      </c>
      <c r="R168" s="6" t="s">
        <v>23</v>
      </c>
      <c r="S168" s="6" t="str">
        <f t="shared" si="2"/>
        <v>RATS</v>
      </c>
    </row>
    <row r="169" spans="1:19" x14ac:dyDescent="0.25">
      <c r="A169" s="6" t="s">
        <v>919</v>
      </c>
      <c r="B169" s="6">
        <v>194</v>
      </c>
      <c r="D169" s="6" t="s">
        <v>916</v>
      </c>
      <c r="E169" s="6" t="s">
        <v>23</v>
      </c>
      <c r="F169" s="6" t="s">
        <v>23</v>
      </c>
      <c r="G169" s="6">
        <v>100</v>
      </c>
      <c r="H169" s="6">
        <v>144</v>
      </c>
      <c r="I169" s="15" t="s">
        <v>23</v>
      </c>
      <c r="J169" s="6">
        <v>172</v>
      </c>
      <c r="K169" s="6" t="s">
        <v>23</v>
      </c>
      <c r="L169" s="6">
        <v>64</v>
      </c>
      <c r="M169" s="6">
        <v>100</v>
      </c>
      <c r="N169" s="6">
        <v>144</v>
      </c>
      <c r="O169" s="6" t="s">
        <v>819</v>
      </c>
      <c r="P169" s="6">
        <v>172</v>
      </c>
      <c r="Q169" s="6" t="s">
        <v>23</v>
      </c>
      <c r="R169" s="6">
        <v>68</v>
      </c>
      <c r="S169" s="6" t="str">
        <f t="shared" si="2"/>
        <v>RATS</v>
      </c>
    </row>
    <row r="170" spans="1:19" x14ac:dyDescent="0.25">
      <c r="A170" s="6" t="s">
        <v>922</v>
      </c>
      <c r="B170" s="6">
        <v>45</v>
      </c>
      <c r="D170" s="6" t="s">
        <v>916</v>
      </c>
      <c r="E170" s="6" t="s">
        <v>23</v>
      </c>
      <c r="F170" s="6" t="s">
        <v>868</v>
      </c>
      <c r="G170" s="6">
        <v>21</v>
      </c>
      <c r="H170" s="6">
        <v>32</v>
      </c>
      <c r="I170" s="15" t="s">
        <v>920</v>
      </c>
      <c r="J170" s="6">
        <v>38</v>
      </c>
      <c r="K170" s="6" t="s">
        <v>920</v>
      </c>
      <c r="L170" s="6">
        <v>13</v>
      </c>
      <c r="M170" s="6">
        <v>22</v>
      </c>
      <c r="N170" s="6">
        <v>33</v>
      </c>
      <c r="O170" s="6" t="s">
        <v>772</v>
      </c>
      <c r="P170" s="6">
        <v>39</v>
      </c>
      <c r="Q170" s="6" t="s">
        <v>904</v>
      </c>
      <c r="R170" s="6">
        <v>13</v>
      </c>
      <c r="S170" s="6" t="str">
        <f t="shared" si="2"/>
        <v>RATS</v>
      </c>
    </row>
    <row r="171" spans="1:19" x14ac:dyDescent="0.25">
      <c r="A171" s="6" t="s">
        <v>923</v>
      </c>
      <c r="B171" s="6">
        <v>169</v>
      </c>
      <c r="D171" s="6" t="s">
        <v>916</v>
      </c>
      <c r="E171" s="6" t="s">
        <v>23</v>
      </c>
      <c r="F171" s="6" t="s">
        <v>23</v>
      </c>
      <c r="G171" s="6" t="s">
        <v>23</v>
      </c>
      <c r="H171" s="6">
        <v>121</v>
      </c>
      <c r="I171" s="15" t="s">
        <v>736</v>
      </c>
      <c r="J171" s="6">
        <v>149</v>
      </c>
      <c r="K171" s="6" t="s">
        <v>902</v>
      </c>
      <c r="L171" s="6" t="s">
        <v>23</v>
      </c>
      <c r="M171" s="6" t="s">
        <v>23</v>
      </c>
      <c r="N171" s="6">
        <v>121</v>
      </c>
      <c r="O171" s="6" t="s">
        <v>826</v>
      </c>
      <c r="P171" s="6">
        <v>149</v>
      </c>
      <c r="Q171" s="6" t="s">
        <v>824</v>
      </c>
      <c r="R171" s="6" t="s">
        <v>23</v>
      </c>
      <c r="S171" s="6" t="str">
        <f t="shared" si="2"/>
        <v>RATS</v>
      </c>
    </row>
    <row r="172" spans="1:19" x14ac:dyDescent="0.25">
      <c r="A172" s="6" t="s">
        <v>924</v>
      </c>
      <c r="B172" s="6">
        <v>91</v>
      </c>
      <c r="D172" s="6" t="s">
        <v>916</v>
      </c>
      <c r="E172" s="6" t="s">
        <v>23</v>
      </c>
      <c r="F172" s="6" t="s">
        <v>674</v>
      </c>
      <c r="G172" s="6">
        <v>47</v>
      </c>
      <c r="H172" s="6">
        <v>69</v>
      </c>
      <c r="I172" s="15" t="s">
        <v>872</v>
      </c>
      <c r="J172" s="6">
        <v>79</v>
      </c>
      <c r="K172" s="6" t="s">
        <v>754</v>
      </c>
      <c r="L172" s="6" t="s">
        <v>23</v>
      </c>
      <c r="M172" s="6" t="s">
        <v>23</v>
      </c>
      <c r="N172" s="6" t="s">
        <v>23</v>
      </c>
      <c r="O172" s="6" t="s">
        <v>23</v>
      </c>
      <c r="P172" s="6" t="s">
        <v>23</v>
      </c>
      <c r="Q172" s="6" t="s">
        <v>23</v>
      </c>
      <c r="R172" s="6" t="s">
        <v>23</v>
      </c>
      <c r="S172" s="6" t="str">
        <f t="shared" si="2"/>
        <v>RATS</v>
      </c>
    </row>
    <row r="173" spans="1:19" x14ac:dyDescent="0.25">
      <c r="A173" s="6" t="s">
        <v>925</v>
      </c>
      <c r="B173" s="6">
        <v>145</v>
      </c>
      <c r="D173" s="6" t="s">
        <v>916</v>
      </c>
      <c r="E173" s="6" t="s">
        <v>23</v>
      </c>
      <c r="F173" s="6" t="s">
        <v>852</v>
      </c>
      <c r="G173" s="6">
        <v>73</v>
      </c>
      <c r="H173" s="6">
        <v>106</v>
      </c>
      <c r="I173" s="15" t="s">
        <v>704</v>
      </c>
      <c r="J173" s="6">
        <v>125</v>
      </c>
      <c r="K173" s="6" t="s">
        <v>688</v>
      </c>
      <c r="L173" s="6" t="s">
        <v>23</v>
      </c>
      <c r="M173" s="6">
        <v>73</v>
      </c>
      <c r="N173" s="6">
        <v>106</v>
      </c>
      <c r="O173" s="6" t="s">
        <v>909</v>
      </c>
      <c r="P173" s="6">
        <v>125</v>
      </c>
      <c r="Q173" s="6" t="s">
        <v>893</v>
      </c>
      <c r="R173" s="6" t="s">
        <v>23</v>
      </c>
      <c r="S173" s="6" t="str">
        <f t="shared" si="2"/>
        <v>RATS</v>
      </c>
    </row>
    <row r="174" spans="1:19" x14ac:dyDescent="0.25">
      <c r="A174" s="6" t="s">
        <v>926</v>
      </c>
      <c r="B174" s="6">
        <v>90</v>
      </c>
      <c r="D174" s="6" t="s">
        <v>916</v>
      </c>
      <c r="E174" s="6" t="s">
        <v>23</v>
      </c>
      <c r="F174" s="6" t="s">
        <v>927</v>
      </c>
      <c r="G174" s="6">
        <v>46</v>
      </c>
      <c r="H174" s="6">
        <v>68</v>
      </c>
      <c r="I174" s="15" t="s">
        <v>865</v>
      </c>
      <c r="J174" s="6">
        <v>78</v>
      </c>
      <c r="K174" s="6" t="s">
        <v>750</v>
      </c>
      <c r="L174" s="6" t="s">
        <v>23</v>
      </c>
      <c r="M174" s="6" t="s">
        <v>23</v>
      </c>
      <c r="N174" s="6" t="s">
        <v>23</v>
      </c>
      <c r="O174" s="6" t="s">
        <v>23</v>
      </c>
      <c r="P174" s="6" t="s">
        <v>23</v>
      </c>
      <c r="Q174" s="6" t="s">
        <v>23</v>
      </c>
      <c r="R174" s="6" t="s">
        <v>23</v>
      </c>
      <c r="S174" s="6" t="str">
        <f t="shared" si="2"/>
        <v>RATS</v>
      </c>
    </row>
    <row r="175" spans="1:19" x14ac:dyDescent="0.25">
      <c r="A175" s="6" t="s">
        <v>928</v>
      </c>
      <c r="B175" s="6">
        <v>43</v>
      </c>
      <c r="D175" s="6" t="s">
        <v>916</v>
      </c>
      <c r="E175" s="6" t="s">
        <v>23</v>
      </c>
      <c r="F175" s="6" t="s">
        <v>23</v>
      </c>
      <c r="G175" s="6" t="s">
        <v>23</v>
      </c>
      <c r="H175" s="6" t="s">
        <v>23</v>
      </c>
      <c r="I175" s="15" t="s">
        <v>782</v>
      </c>
      <c r="J175" s="6" t="s">
        <v>23</v>
      </c>
      <c r="K175" s="6" t="s">
        <v>653</v>
      </c>
      <c r="L175" s="6" t="s">
        <v>23</v>
      </c>
      <c r="M175" s="6">
        <v>20</v>
      </c>
      <c r="N175" s="6" t="s">
        <v>23</v>
      </c>
      <c r="O175" s="6" t="s">
        <v>784</v>
      </c>
      <c r="P175" s="6" t="s">
        <v>23</v>
      </c>
      <c r="Q175" s="6" t="s">
        <v>766</v>
      </c>
      <c r="R175" s="6" t="s">
        <v>23</v>
      </c>
      <c r="S175" s="6" t="str">
        <f t="shared" si="2"/>
        <v>RATS</v>
      </c>
    </row>
    <row r="176" spans="1:19" x14ac:dyDescent="0.25">
      <c r="A176" s="6" t="s">
        <v>929</v>
      </c>
      <c r="B176" s="6">
        <v>44</v>
      </c>
      <c r="D176" s="6" t="s">
        <v>916</v>
      </c>
      <c r="E176" s="6" t="s">
        <v>23</v>
      </c>
      <c r="F176" s="6" t="s">
        <v>23</v>
      </c>
      <c r="G176" s="6">
        <v>20</v>
      </c>
      <c r="H176" s="6">
        <v>31</v>
      </c>
      <c r="I176" s="15" t="s">
        <v>760</v>
      </c>
      <c r="J176" s="6">
        <v>37</v>
      </c>
      <c r="K176" s="6" t="s">
        <v>766</v>
      </c>
      <c r="L176" s="6" t="s">
        <v>23</v>
      </c>
      <c r="M176" s="6">
        <v>21</v>
      </c>
      <c r="N176" s="6">
        <v>32</v>
      </c>
      <c r="O176" s="6" t="s">
        <v>782</v>
      </c>
      <c r="P176" s="6">
        <v>38</v>
      </c>
      <c r="Q176" s="6" t="s">
        <v>905</v>
      </c>
      <c r="R176" s="6" t="s">
        <v>23</v>
      </c>
      <c r="S176" s="6" t="str">
        <f t="shared" si="2"/>
        <v>RATS</v>
      </c>
    </row>
    <row r="177" spans="1:19" x14ac:dyDescent="0.25">
      <c r="A177" s="6" t="s">
        <v>930</v>
      </c>
      <c r="B177" s="6">
        <v>7</v>
      </c>
      <c r="D177" s="6" t="s">
        <v>916</v>
      </c>
      <c r="E177" s="6" t="s">
        <v>23</v>
      </c>
      <c r="F177" s="6" t="s">
        <v>829</v>
      </c>
      <c r="G177" s="6" t="s">
        <v>23</v>
      </c>
      <c r="H177" s="6" t="s">
        <v>23</v>
      </c>
      <c r="I177" s="15" t="s">
        <v>23</v>
      </c>
      <c r="J177" s="6" t="s">
        <v>23</v>
      </c>
      <c r="K177" s="6" t="s">
        <v>23</v>
      </c>
      <c r="L177" s="6" t="s">
        <v>23</v>
      </c>
      <c r="M177" s="6" t="s">
        <v>23</v>
      </c>
      <c r="N177" s="6" t="s">
        <v>23</v>
      </c>
      <c r="O177" s="6" t="s">
        <v>23</v>
      </c>
      <c r="P177" s="6" t="s">
        <v>23</v>
      </c>
      <c r="Q177" s="6" t="s">
        <v>23</v>
      </c>
      <c r="R177" s="6" t="s">
        <v>23</v>
      </c>
      <c r="S177" s="6" t="str">
        <f t="shared" si="2"/>
        <v/>
      </c>
    </row>
    <row r="178" spans="1:19" x14ac:dyDescent="0.25">
      <c r="A178" s="6" t="s">
        <v>930</v>
      </c>
      <c r="B178" s="6">
        <v>9</v>
      </c>
      <c r="D178" s="6" t="s">
        <v>916</v>
      </c>
      <c r="E178" s="6" t="s">
        <v>23</v>
      </c>
      <c r="F178" s="6" t="s">
        <v>816</v>
      </c>
      <c r="G178" s="6" t="s">
        <v>23</v>
      </c>
      <c r="H178" s="6" t="s">
        <v>23</v>
      </c>
      <c r="I178" s="15" t="s">
        <v>23</v>
      </c>
      <c r="J178" s="6" t="s">
        <v>23</v>
      </c>
      <c r="K178" s="6" t="s">
        <v>23</v>
      </c>
      <c r="L178" s="6" t="s">
        <v>23</v>
      </c>
      <c r="M178" s="6" t="s">
        <v>23</v>
      </c>
      <c r="N178" s="6" t="s">
        <v>23</v>
      </c>
      <c r="O178" s="6" t="s">
        <v>23</v>
      </c>
      <c r="P178" s="6" t="s">
        <v>23</v>
      </c>
      <c r="Q178" s="6" t="s">
        <v>23</v>
      </c>
      <c r="R178" s="6" t="s">
        <v>23</v>
      </c>
      <c r="S178" s="6" t="str">
        <f t="shared" si="2"/>
        <v/>
      </c>
    </row>
    <row r="179" spans="1:19" x14ac:dyDescent="0.25">
      <c r="A179" s="6" t="s">
        <v>930</v>
      </c>
      <c r="B179" s="6">
        <v>12</v>
      </c>
      <c r="D179" s="6" t="s">
        <v>916</v>
      </c>
      <c r="E179" s="6" t="s">
        <v>23</v>
      </c>
      <c r="F179" s="6" t="s">
        <v>896</v>
      </c>
      <c r="G179" s="6" t="s">
        <v>23</v>
      </c>
      <c r="H179" s="6" t="s">
        <v>23</v>
      </c>
      <c r="I179" s="15" t="s">
        <v>23</v>
      </c>
      <c r="J179" s="6" t="s">
        <v>23</v>
      </c>
      <c r="K179" s="6" t="s">
        <v>23</v>
      </c>
      <c r="L179" s="6" t="s">
        <v>23</v>
      </c>
      <c r="M179" s="6" t="s">
        <v>23</v>
      </c>
      <c r="N179" s="6" t="s">
        <v>23</v>
      </c>
      <c r="O179" s="6" t="s">
        <v>23</v>
      </c>
      <c r="P179" s="6" t="s">
        <v>23</v>
      </c>
      <c r="Q179" s="6" t="s">
        <v>23</v>
      </c>
      <c r="R179" s="6" t="s">
        <v>23</v>
      </c>
      <c r="S179" s="6" t="str">
        <f t="shared" si="2"/>
        <v/>
      </c>
    </row>
    <row r="180" spans="1:19" x14ac:dyDescent="0.25">
      <c r="A180" s="6" t="s">
        <v>930</v>
      </c>
      <c r="B180" s="6">
        <v>18</v>
      </c>
      <c r="D180" s="6" t="s">
        <v>916</v>
      </c>
      <c r="E180" s="6" t="s">
        <v>23</v>
      </c>
      <c r="F180" s="6" t="s">
        <v>23</v>
      </c>
      <c r="G180" s="6" t="s">
        <v>23</v>
      </c>
      <c r="H180" s="6" t="s">
        <v>23</v>
      </c>
      <c r="I180" s="15" t="s">
        <v>852</v>
      </c>
      <c r="J180" s="6">
        <v>14</v>
      </c>
      <c r="K180" s="6" t="s">
        <v>702</v>
      </c>
      <c r="L180" s="6" t="s">
        <v>23</v>
      </c>
      <c r="M180" s="6" t="s">
        <v>23</v>
      </c>
      <c r="N180" s="6" t="s">
        <v>23</v>
      </c>
      <c r="O180" s="6" t="s">
        <v>816</v>
      </c>
      <c r="P180" s="6">
        <v>14</v>
      </c>
      <c r="Q180" s="6" t="s">
        <v>848</v>
      </c>
      <c r="R180" s="6" t="s">
        <v>23</v>
      </c>
      <c r="S180" s="6" t="str">
        <f t="shared" si="2"/>
        <v>RATS</v>
      </c>
    </row>
    <row r="181" spans="1:19" x14ac:dyDescent="0.25">
      <c r="A181" s="6" t="s">
        <v>930</v>
      </c>
      <c r="B181" s="6">
        <v>26</v>
      </c>
      <c r="D181" s="6" t="s">
        <v>916</v>
      </c>
      <c r="E181" s="6" t="s">
        <v>23</v>
      </c>
      <c r="F181" s="6" t="s">
        <v>876</v>
      </c>
      <c r="G181" s="6">
        <v>10</v>
      </c>
      <c r="H181" s="6">
        <v>16</v>
      </c>
      <c r="I181" s="15" t="s">
        <v>801</v>
      </c>
      <c r="J181" s="6">
        <v>22</v>
      </c>
      <c r="K181" s="6" t="s">
        <v>881</v>
      </c>
      <c r="L181" s="6" t="s">
        <v>23</v>
      </c>
      <c r="M181" s="6">
        <v>10</v>
      </c>
      <c r="N181" s="6">
        <v>16</v>
      </c>
      <c r="O181" s="6" t="s">
        <v>878</v>
      </c>
      <c r="P181" s="6">
        <v>22</v>
      </c>
      <c r="Q181" s="6" t="s">
        <v>801</v>
      </c>
      <c r="R181" s="6" t="s">
        <v>23</v>
      </c>
      <c r="S181" s="6" t="str">
        <f t="shared" si="2"/>
        <v>RATS</v>
      </c>
    </row>
    <row r="182" spans="1:19" x14ac:dyDescent="0.25">
      <c r="A182" s="6" t="s">
        <v>930</v>
      </c>
      <c r="B182" s="6">
        <v>41</v>
      </c>
      <c r="D182" s="6" t="s">
        <v>916</v>
      </c>
      <c r="E182" s="6" t="s">
        <v>23</v>
      </c>
      <c r="F182" s="6" t="s">
        <v>644</v>
      </c>
      <c r="G182" s="6" t="s">
        <v>23</v>
      </c>
      <c r="H182" s="6" t="s">
        <v>23</v>
      </c>
      <c r="I182" s="15" t="s">
        <v>876</v>
      </c>
      <c r="J182" s="6" t="s">
        <v>23</v>
      </c>
      <c r="K182" s="6" t="s">
        <v>784</v>
      </c>
      <c r="L182" s="6" t="s">
        <v>23</v>
      </c>
      <c r="M182" s="6" t="s">
        <v>23</v>
      </c>
      <c r="N182" s="6" t="s">
        <v>23</v>
      </c>
      <c r="O182" s="6" t="s">
        <v>760</v>
      </c>
      <c r="P182" s="6" t="s">
        <v>23</v>
      </c>
      <c r="Q182" s="6" t="s">
        <v>878</v>
      </c>
      <c r="R182" s="6" t="s">
        <v>23</v>
      </c>
      <c r="S182" s="6" t="str">
        <f t="shared" si="2"/>
        <v>RATS</v>
      </c>
    </row>
    <row r="183" spans="1:19" x14ac:dyDescent="0.25">
      <c r="A183" s="6" t="s">
        <v>930</v>
      </c>
      <c r="B183" s="6">
        <v>51</v>
      </c>
      <c r="D183" s="6" t="s">
        <v>916</v>
      </c>
      <c r="E183" s="6" t="s">
        <v>23</v>
      </c>
      <c r="F183" s="6" t="s">
        <v>864</v>
      </c>
      <c r="G183" s="6" t="s">
        <v>23</v>
      </c>
      <c r="H183" s="6" t="s">
        <v>23</v>
      </c>
      <c r="I183" s="15" t="s">
        <v>23</v>
      </c>
      <c r="J183" s="6" t="s">
        <v>23</v>
      </c>
      <c r="K183" s="6" t="s">
        <v>667</v>
      </c>
      <c r="L183" s="6" t="s">
        <v>23</v>
      </c>
      <c r="M183" s="6" t="s">
        <v>23</v>
      </c>
      <c r="N183" s="6" t="s">
        <v>23</v>
      </c>
      <c r="O183" s="6" t="s">
        <v>23</v>
      </c>
      <c r="P183" s="6" t="s">
        <v>23</v>
      </c>
      <c r="Q183" s="6" t="s">
        <v>669</v>
      </c>
      <c r="R183" s="6" t="s">
        <v>23</v>
      </c>
      <c r="S183" s="6" t="str">
        <f t="shared" si="2"/>
        <v/>
      </c>
    </row>
    <row r="184" spans="1:19" x14ac:dyDescent="0.25">
      <c r="A184" s="6" t="s">
        <v>930</v>
      </c>
      <c r="B184" s="6">
        <v>56</v>
      </c>
      <c r="D184" s="6" t="s">
        <v>916</v>
      </c>
      <c r="E184" s="6" t="s">
        <v>23</v>
      </c>
      <c r="F184" s="6" t="s">
        <v>23</v>
      </c>
      <c r="G184" s="6">
        <v>26</v>
      </c>
      <c r="H184" s="6">
        <v>37</v>
      </c>
      <c r="I184" s="15" t="s">
        <v>657</v>
      </c>
      <c r="J184" s="6">
        <v>45</v>
      </c>
      <c r="K184" s="6" t="s">
        <v>892</v>
      </c>
      <c r="L184" s="6">
        <v>18</v>
      </c>
      <c r="M184" s="6">
        <v>27</v>
      </c>
      <c r="N184" s="6">
        <v>38</v>
      </c>
      <c r="O184" s="6" t="s">
        <v>667</v>
      </c>
      <c r="P184" s="6">
        <v>48</v>
      </c>
      <c r="Q184" s="6" t="s">
        <v>656</v>
      </c>
      <c r="R184" s="6">
        <v>18</v>
      </c>
      <c r="S184" s="6" t="str">
        <f t="shared" si="2"/>
        <v>RATS</v>
      </c>
    </row>
    <row r="185" spans="1:19" x14ac:dyDescent="0.25">
      <c r="A185" s="6" t="s">
        <v>930</v>
      </c>
      <c r="B185" s="6">
        <v>70</v>
      </c>
      <c r="D185" s="6" t="s">
        <v>916</v>
      </c>
      <c r="E185" s="6" t="s">
        <v>23</v>
      </c>
      <c r="F185" s="6" t="s">
        <v>23</v>
      </c>
      <c r="G185" s="6" t="s">
        <v>23</v>
      </c>
      <c r="H185" s="6">
        <v>48</v>
      </c>
      <c r="I185" s="15" t="s">
        <v>892</v>
      </c>
      <c r="J185" s="6">
        <v>58</v>
      </c>
      <c r="K185" s="6" t="s">
        <v>23</v>
      </c>
      <c r="L185" s="6" t="s">
        <v>23</v>
      </c>
      <c r="M185" s="6" t="s">
        <v>23</v>
      </c>
      <c r="N185" s="6">
        <v>51</v>
      </c>
      <c r="O185" s="6" t="s">
        <v>892</v>
      </c>
      <c r="P185" s="6">
        <v>61</v>
      </c>
      <c r="Q185" s="6" t="s">
        <v>23</v>
      </c>
      <c r="R185" s="6" t="s">
        <v>23</v>
      </c>
      <c r="S185" s="6" t="str">
        <f t="shared" si="2"/>
        <v/>
      </c>
    </row>
    <row r="186" spans="1:19" x14ac:dyDescent="0.25">
      <c r="A186" s="6" t="s">
        <v>930</v>
      </c>
      <c r="B186" s="6">
        <v>80</v>
      </c>
      <c r="D186" s="6" t="s">
        <v>916</v>
      </c>
      <c r="E186" s="6" t="s">
        <v>23</v>
      </c>
      <c r="F186" s="6" t="s">
        <v>23</v>
      </c>
      <c r="G186" s="6" t="s">
        <v>23</v>
      </c>
      <c r="H186" s="6">
        <v>58</v>
      </c>
      <c r="I186" s="15" t="s">
        <v>23</v>
      </c>
      <c r="J186" s="6">
        <v>68</v>
      </c>
      <c r="K186" s="6" t="s">
        <v>23</v>
      </c>
      <c r="L186" s="6" t="s">
        <v>23</v>
      </c>
      <c r="M186" s="6" t="s">
        <v>23</v>
      </c>
      <c r="N186" s="6">
        <v>61</v>
      </c>
      <c r="O186" s="6" t="s">
        <v>23</v>
      </c>
      <c r="P186" s="6">
        <v>71</v>
      </c>
      <c r="Q186" s="6" t="s">
        <v>23</v>
      </c>
      <c r="R186" s="6" t="s">
        <v>23</v>
      </c>
      <c r="S186" s="6" t="str">
        <f t="shared" si="2"/>
        <v/>
      </c>
    </row>
    <row r="187" spans="1:19" x14ac:dyDescent="0.25">
      <c r="A187" s="6" t="s">
        <v>930</v>
      </c>
      <c r="B187" s="6">
        <v>94</v>
      </c>
      <c r="D187" s="6" t="s">
        <v>916</v>
      </c>
      <c r="E187" s="6" t="s">
        <v>23</v>
      </c>
      <c r="F187" s="6" t="s">
        <v>23</v>
      </c>
      <c r="G187" s="6">
        <v>50</v>
      </c>
      <c r="H187" s="6">
        <v>72</v>
      </c>
      <c r="I187" s="15" t="s">
        <v>907</v>
      </c>
      <c r="J187" s="6">
        <v>82</v>
      </c>
      <c r="K187" s="6" t="s">
        <v>753</v>
      </c>
      <c r="L187" s="6">
        <v>31</v>
      </c>
      <c r="M187" s="6">
        <v>49</v>
      </c>
      <c r="N187" s="6">
        <v>71</v>
      </c>
      <c r="O187" s="6" t="s">
        <v>908</v>
      </c>
      <c r="P187" s="6">
        <v>82</v>
      </c>
      <c r="Q187" s="6" t="s">
        <v>753</v>
      </c>
      <c r="R187" s="6">
        <v>32</v>
      </c>
      <c r="S187" s="6" t="str">
        <f t="shared" si="2"/>
        <v>RATS</v>
      </c>
    </row>
    <row r="188" spans="1:19" x14ac:dyDescent="0.25">
      <c r="A188" s="6" t="s">
        <v>930</v>
      </c>
      <c r="B188" s="6">
        <v>103</v>
      </c>
      <c r="D188" s="6" t="s">
        <v>916</v>
      </c>
      <c r="E188" s="6" t="s">
        <v>23</v>
      </c>
      <c r="F188" s="6" t="s">
        <v>23</v>
      </c>
      <c r="G188" s="6" t="s">
        <v>23</v>
      </c>
      <c r="H188" s="6" t="s">
        <v>23</v>
      </c>
      <c r="I188" s="15" t="s">
        <v>23</v>
      </c>
      <c r="J188" s="6">
        <v>90</v>
      </c>
      <c r="K188" s="6" t="s">
        <v>845</v>
      </c>
      <c r="L188" s="6" t="s">
        <v>23</v>
      </c>
      <c r="M188" s="6" t="s">
        <v>23</v>
      </c>
      <c r="N188" s="6" t="s">
        <v>23</v>
      </c>
      <c r="O188" s="6" t="s">
        <v>23</v>
      </c>
      <c r="P188" s="6" t="s">
        <v>23</v>
      </c>
      <c r="Q188" s="6" t="s">
        <v>23</v>
      </c>
      <c r="R188" s="6" t="s">
        <v>23</v>
      </c>
      <c r="S188" s="6" t="str">
        <f t="shared" si="2"/>
        <v/>
      </c>
    </row>
    <row r="189" spans="1:19" x14ac:dyDescent="0.25">
      <c r="A189" s="6" t="s">
        <v>930</v>
      </c>
      <c r="B189" s="6">
        <v>110</v>
      </c>
      <c r="D189" s="6" t="s">
        <v>916</v>
      </c>
      <c r="E189" s="6" t="s">
        <v>23</v>
      </c>
      <c r="F189" s="6" t="s">
        <v>23</v>
      </c>
      <c r="G189" s="6" t="s">
        <v>23</v>
      </c>
      <c r="H189" s="6" t="s">
        <v>23</v>
      </c>
      <c r="I189" s="15" t="s">
        <v>23</v>
      </c>
      <c r="J189" s="6" t="s">
        <v>23</v>
      </c>
      <c r="K189" s="6" t="s">
        <v>799</v>
      </c>
      <c r="L189" s="6" t="s">
        <v>23</v>
      </c>
      <c r="M189" s="6" t="s">
        <v>23</v>
      </c>
      <c r="N189" s="6" t="s">
        <v>23</v>
      </c>
      <c r="O189" s="6" t="s">
        <v>23</v>
      </c>
      <c r="P189" s="6" t="s">
        <v>23</v>
      </c>
      <c r="Q189" s="6" t="s">
        <v>23</v>
      </c>
      <c r="R189" s="6" t="s">
        <v>23</v>
      </c>
      <c r="S189" s="6" t="str">
        <f t="shared" si="2"/>
        <v/>
      </c>
    </row>
    <row r="190" spans="1:19" x14ac:dyDescent="0.25">
      <c r="A190" s="6" t="s">
        <v>930</v>
      </c>
      <c r="B190" s="6">
        <v>116</v>
      </c>
      <c r="D190" s="6" t="s">
        <v>916</v>
      </c>
      <c r="E190" s="6" t="s">
        <v>23</v>
      </c>
      <c r="F190" s="6" t="s">
        <v>23</v>
      </c>
      <c r="G190" s="6" t="s">
        <v>23</v>
      </c>
      <c r="H190" s="6">
        <v>83</v>
      </c>
      <c r="I190" s="15" t="s">
        <v>895</v>
      </c>
      <c r="J190" s="6">
        <v>102</v>
      </c>
      <c r="K190" s="6" t="s">
        <v>23</v>
      </c>
      <c r="L190" s="6" t="s">
        <v>23</v>
      </c>
      <c r="M190" s="6" t="s">
        <v>23</v>
      </c>
      <c r="N190" s="6">
        <v>83</v>
      </c>
      <c r="O190" s="6" t="s">
        <v>845</v>
      </c>
      <c r="P190" s="6">
        <v>102</v>
      </c>
      <c r="Q190" s="6" t="s">
        <v>845</v>
      </c>
      <c r="R190" s="6" t="s">
        <v>23</v>
      </c>
      <c r="S190" s="6" t="str">
        <f t="shared" si="2"/>
        <v>RATS</v>
      </c>
    </row>
    <row r="191" spans="1:19" x14ac:dyDescent="0.25">
      <c r="A191" s="6" t="s">
        <v>930</v>
      </c>
      <c r="B191" s="6">
        <v>121</v>
      </c>
      <c r="D191" s="6" t="s">
        <v>916</v>
      </c>
      <c r="E191" s="6" t="s">
        <v>23</v>
      </c>
      <c r="F191" s="6" t="s">
        <v>23</v>
      </c>
      <c r="G191" s="6" t="s">
        <v>23</v>
      </c>
      <c r="H191" s="6" t="s">
        <v>23</v>
      </c>
      <c r="I191" s="15" t="s">
        <v>23</v>
      </c>
      <c r="J191" s="6" t="s">
        <v>23</v>
      </c>
      <c r="K191" s="6" t="s">
        <v>23</v>
      </c>
      <c r="L191" s="6" t="s">
        <v>23</v>
      </c>
      <c r="M191" s="6" t="s">
        <v>23</v>
      </c>
      <c r="N191" s="6" t="s">
        <v>23</v>
      </c>
      <c r="O191" s="6" t="s">
        <v>23</v>
      </c>
      <c r="P191" s="6" t="s">
        <v>23</v>
      </c>
      <c r="Q191" s="6" t="s">
        <v>23</v>
      </c>
      <c r="R191" s="6" t="s">
        <v>23</v>
      </c>
      <c r="S191" s="6" t="str">
        <f t="shared" si="2"/>
        <v/>
      </c>
    </row>
    <row r="192" spans="1:19" x14ac:dyDescent="0.25">
      <c r="A192" s="6" t="s">
        <v>930</v>
      </c>
      <c r="B192" s="6">
        <v>129</v>
      </c>
      <c r="D192" s="6" t="s">
        <v>916</v>
      </c>
      <c r="E192" s="6" t="s">
        <v>23</v>
      </c>
      <c r="F192" s="6" t="s">
        <v>23</v>
      </c>
      <c r="G192" s="6" t="s">
        <v>23</v>
      </c>
      <c r="H192" s="6">
        <v>94</v>
      </c>
      <c r="I192" s="15" t="s">
        <v>23</v>
      </c>
      <c r="J192" s="6">
        <v>113</v>
      </c>
      <c r="K192" s="6" t="s">
        <v>23</v>
      </c>
      <c r="L192" s="6" t="s">
        <v>23</v>
      </c>
      <c r="M192" s="6" t="s">
        <v>23</v>
      </c>
      <c r="N192" s="6">
        <v>94</v>
      </c>
      <c r="O192" s="6" t="s">
        <v>23</v>
      </c>
      <c r="P192" s="6">
        <v>113</v>
      </c>
      <c r="Q192" s="6" t="s">
        <v>23</v>
      </c>
      <c r="R192" s="6" t="s">
        <v>23</v>
      </c>
      <c r="S192" s="6" t="str">
        <f t="shared" si="2"/>
        <v/>
      </c>
    </row>
    <row r="193" spans="1:19" x14ac:dyDescent="0.25">
      <c r="A193" s="6" t="s">
        <v>930</v>
      </c>
      <c r="B193" s="6">
        <v>135</v>
      </c>
      <c r="D193" s="6" t="s">
        <v>916</v>
      </c>
      <c r="E193" s="6" t="s">
        <v>23</v>
      </c>
      <c r="F193" s="6" t="s">
        <v>23</v>
      </c>
      <c r="G193" s="6" t="s">
        <v>23</v>
      </c>
      <c r="H193" s="6" t="s">
        <v>23</v>
      </c>
      <c r="I193" s="15" t="s">
        <v>23</v>
      </c>
      <c r="J193" s="6" t="s">
        <v>23</v>
      </c>
      <c r="K193" s="6" t="s">
        <v>23</v>
      </c>
      <c r="L193" s="6" t="s">
        <v>23</v>
      </c>
      <c r="M193" s="6" t="s">
        <v>23</v>
      </c>
      <c r="N193" s="6" t="s">
        <v>23</v>
      </c>
      <c r="O193" s="6" t="s">
        <v>23</v>
      </c>
      <c r="P193" s="6" t="s">
        <v>23</v>
      </c>
      <c r="Q193" s="6" t="s">
        <v>799</v>
      </c>
      <c r="R193" s="6" t="s">
        <v>23</v>
      </c>
      <c r="S193" s="6" t="str">
        <f t="shared" si="2"/>
        <v/>
      </c>
    </row>
    <row r="194" spans="1:19" x14ac:dyDescent="0.25">
      <c r="A194" s="6" t="s">
        <v>930</v>
      </c>
      <c r="B194" s="6">
        <v>143</v>
      </c>
      <c r="D194" s="6" t="s">
        <v>916</v>
      </c>
      <c r="E194" s="6" t="s">
        <v>23</v>
      </c>
      <c r="F194" s="6" t="s">
        <v>23</v>
      </c>
      <c r="G194" s="6">
        <v>74</v>
      </c>
      <c r="H194" s="6">
        <v>107</v>
      </c>
      <c r="I194" s="15" t="s">
        <v>709</v>
      </c>
      <c r="J194" s="6">
        <v>126</v>
      </c>
      <c r="K194" s="6" t="s">
        <v>911</v>
      </c>
      <c r="L194" s="6">
        <v>47</v>
      </c>
      <c r="M194" s="6">
        <v>74</v>
      </c>
      <c r="N194" s="6">
        <v>107</v>
      </c>
      <c r="O194" s="6" t="s">
        <v>804</v>
      </c>
      <c r="P194" s="6">
        <v>126</v>
      </c>
      <c r="Q194" s="6" t="s">
        <v>688</v>
      </c>
      <c r="R194" s="6">
        <v>50</v>
      </c>
      <c r="S194" s="6" t="str">
        <f t="shared" si="2"/>
        <v>RATS</v>
      </c>
    </row>
    <row r="195" spans="1:19" x14ac:dyDescent="0.25">
      <c r="A195" s="6" t="s">
        <v>930</v>
      </c>
      <c r="B195" s="6">
        <v>153</v>
      </c>
      <c r="D195" s="6" t="s">
        <v>916</v>
      </c>
      <c r="E195" s="6" t="s">
        <v>23</v>
      </c>
      <c r="F195" s="6" t="s">
        <v>23</v>
      </c>
      <c r="G195" s="6" t="s">
        <v>23</v>
      </c>
      <c r="H195" s="6" t="s">
        <v>23</v>
      </c>
      <c r="I195" s="15" t="s">
        <v>829</v>
      </c>
      <c r="J195" s="6">
        <v>135</v>
      </c>
      <c r="K195" s="6" t="s">
        <v>806</v>
      </c>
      <c r="L195" s="6" t="s">
        <v>23</v>
      </c>
      <c r="M195" s="6" t="s">
        <v>23</v>
      </c>
      <c r="N195" s="6" t="s">
        <v>23</v>
      </c>
      <c r="O195" s="6" t="s">
        <v>716</v>
      </c>
      <c r="P195" s="6">
        <v>135</v>
      </c>
      <c r="Q195" s="6" t="s">
        <v>806</v>
      </c>
      <c r="R195" s="6" t="s">
        <v>23</v>
      </c>
      <c r="S195" s="6" t="str">
        <f t="shared" si="2"/>
        <v>RATS</v>
      </c>
    </row>
    <row r="196" spans="1:19" x14ac:dyDescent="0.25">
      <c r="A196" s="6" t="s">
        <v>930</v>
      </c>
      <c r="B196" s="6">
        <v>160</v>
      </c>
      <c r="D196" s="6" t="s">
        <v>916</v>
      </c>
      <c r="E196" s="6" t="s">
        <v>23</v>
      </c>
      <c r="F196" s="6" t="s">
        <v>23</v>
      </c>
      <c r="G196" s="6" t="s">
        <v>23</v>
      </c>
      <c r="H196" s="6" t="s">
        <v>23</v>
      </c>
      <c r="I196" s="15" t="s">
        <v>717</v>
      </c>
      <c r="J196" s="6" t="s">
        <v>23</v>
      </c>
      <c r="K196" s="6" t="s">
        <v>825</v>
      </c>
      <c r="L196" s="6" t="s">
        <v>23</v>
      </c>
      <c r="M196" s="6" t="s">
        <v>23</v>
      </c>
      <c r="N196" s="6" t="s">
        <v>23</v>
      </c>
      <c r="O196" s="6" t="s">
        <v>23</v>
      </c>
      <c r="P196" s="6" t="s">
        <v>23</v>
      </c>
      <c r="Q196" s="6" t="s">
        <v>23</v>
      </c>
      <c r="R196" s="6" t="s">
        <v>23</v>
      </c>
      <c r="S196" s="6" t="str">
        <f t="shared" si="2"/>
        <v>RATS</v>
      </c>
    </row>
    <row r="197" spans="1:19" x14ac:dyDescent="0.25">
      <c r="A197" s="6" t="s">
        <v>930</v>
      </c>
      <c r="B197" s="6">
        <v>168</v>
      </c>
      <c r="D197" s="6" t="s">
        <v>916</v>
      </c>
      <c r="E197" s="6" t="s">
        <v>23</v>
      </c>
      <c r="F197" s="6" t="s">
        <v>23</v>
      </c>
      <c r="G197" s="6" t="s">
        <v>23</v>
      </c>
      <c r="H197" s="6">
        <v>120</v>
      </c>
      <c r="I197" s="15" t="s">
        <v>23</v>
      </c>
      <c r="J197" s="6">
        <v>148</v>
      </c>
      <c r="K197" s="6" t="s">
        <v>23</v>
      </c>
      <c r="L197" s="6" t="s">
        <v>23</v>
      </c>
      <c r="M197" s="6" t="s">
        <v>23</v>
      </c>
      <c r="N197" s="6">
        <v>120</v>
      </c>
      <c r="O197" s="6" t="s">
        <v>731</v>
      </c>
      <c r="P197" s="6">
        <v>148</v>
      </c>
      <c r="Q197" s="6" t="s">
        <v>630</v>
      </c>
      <c r="R197" s="6" t="s">
        <v>23</v>
      </c>
      <c r="S197" s="6" t="str">
        <f t="shared" ref="S197:S227" si="3">IF(O197=I197,"","RATS")</f>
        <v>RATS</v>
      </c>
    </row>
    <row r="198" spans="1:19" x14ac:dyDescent="0.25">
      <c r="A198" s="6" t="s">
        <v>930</v>
      </c>
      <c r="B198" s="6">
        <v>172</v>
      </c>
      <c r="D198" s="6" t="s">
        <v>916</v>
      </c>
      <c r="E198" s="6" t="s">
        <v>23</v>
      </c>
      <c r="F198" s="6" t="s">
        <v>23</v>
      </c>
      <c r="G198" s="6" t="s">
        <v>23</v>
      </c>
      <c r="H198" s="6" t="s">
        <v>23</v>
      </c>
      <c r="I198" s="15" t="s">
        <v>23</v>
      </c>
      <c r="J198" s="6" t="s">
        <v>23</v>
      </c>
      <c r="K198" s="6" t="s">
        <v>633</v>
      </c>
      <c r="L198" s="6" t="s">
        <v>23</v>
      </c>
      <c r="M198" s="6" t="s">
        <v>23</v>
      </c>
      <c r="N198" s="6" t="s">
        <v>23</v>
      </c>
      <c r="O198" s="6" t="s">
        <v>23</v>
      </c>
      <c r="P198" s="6" t="s">
        <v>23</v>
      </c>
      <c r="Q198" s="6" t="s">
        <v>23</v>
      </c>
      <c r="R198" s="6" t="s">
        <v>23</v>
      </c>
      <c r="S198" s="6" t="str">
        <f t="shared" si="3"/>
        <v/>
      </c>
    </row>
    <row r="199" spans="1:19" x14ac:dyDescent="0.25">
      <c r="A199" s="6" t="s">
        <v>930</v>
      </c>
      <c r="B199" s="6">
        <v>179</v>
      </c>
      <c r="D199" s="6" t="s">
        <v>916</v>
      </c>
      <c r="E199" s="6" t="s">
        <v>23</v>
      </c>
      <c r="F199" s="6" t="s">
        <v>23</v>
      </c>
      <c r="G199" s="6" t="s">
        <v>23</v>
      </c>
      <c r="H199" s="6">
        <v>129</v>
      </c>
      <c r="I199" s="15" t="s">
        <v>747</v>
      </c>
      <c r="J199" s="6">
        <v>158</v>
      </c>
      <c r="K199" s="6" t="s">
        <v>23</v>
      </c>
      <c r="L199" s="6" t="s">
        <v>23</v>
      </c>
      <c r="M199" s="6" t="s">
        <v>23</v>
      </c>
      <c r="N199" s="6">
        <v>130</v>
      </c>
      <c r="O199" s="6" t="s">
        <v>23</v>
      </c>
      <c r="P199" s="6">
        <v>158</v>
      </c>
      <c r="Q199" s="6" t="s">
        <v>902</v>
      </c>
      <c r="R199" s="6" t="s">
        <v>23</v>
      </c>
      <c r="S199" s="6" t="str">
        <f t="shared" si="3"/>
        <v>RATS</v>
      </c>
    </row>
    <row r="200" spans="1:19" x14ac:dyDescent="0.25">
      <c r="A200" s="6" t="s">
        <v>930</v>
      </c>
      <c r="B200" s="6">
        <v>193</v>
      </c>
      <c r="D200" s="6" t="s">
        <v>916</v>
      </c>
      <c r="E200" s="6" t="s">
        <v>23</v>
      </c>
      <c r="F200" s="6" t="s">
        <v>23</v>
      </c>
      <c r="G200" s="6">
        <v>99</v>
      </c>
      <c r="H200" s="6">
        <v>143</v>
      </c>
      <c r="I200" s="15" t="s">
        <v>23</v>
      </c>
      <c r="J200" s="6" t="s">
        <v>23</v>
      </c>
      <c r="K200" s="6" t="s">
        <v>23</v>
      </c>
      <c r="L200" s="6">
        <v>63</v>
      </c>
      <c r="M200" s="6">
        <v>99</v>
      </c>
      <c r="N200" s="6">
        <v>143</v>
      </c>
      <c r="O200" s="6" t="s">
        <v>858</v>
      </c>
      <c r="P200" s="6" t="s">
        <v>23</v>
      </c>
      <c r="Q200" s="6" t="s">
        <v>23</v>
      </c>
      <c r="R200" s="6">
        <v>67</v>
      </c>
      <c r="S200" s="6" t="str">
        <f t="shared" si="3"/>
        <v>RATS</v>
      </c>
    </row>
    <row r="201" spans="1:19" x14ac:dyDescent="0.25">
      <c r="A201" s="6" t="s">
        <v>930</v>
      </c>
      <c r="B201" s="6">
        <v>199</v>
      </c>
      <c r="D201" s="6" t="s">
        <v>916</v>
      </c>
      <c r="E201" s="6" t="s">
        <v>23</v>
      </c>
      <c r="F201" s="6" t="s">
        <v>23</v>
      </c>
      <c r="G201" s="6" t="s">
        <v>23</v>
      </c>
      <c r="H201" s="6" t="s">
        <v>23</v>
      </c>
      <c r="I201" s="15" t="s">
        <v>23</v>
      </c>
      <c r="J201" s="6" t="s">
        <v>23</v>
      </c>
      <c r="K201" s="6" t="s">
        <v>730</v>
      </c>
      <c r="L201" s="6" t="s">
        <v>23</v>
      </c>
      <c r="M201" s="6" t="s">
        <v>23</v>
      </c>
      <c r="N201" s="6" t="s">
        <v>23</v>
      </c>
      <c r="O201" s="6" t="s">
        <v>23</v>
      </c>
      <c r="P201" s="6" t="s">
        <v>23</v>
      </c>
      <c r="Q201" s="6" t="s">
        <v>730</v>
      </c>
      <c r="R201" s="6" t="s">
        <v>23</v>
      </c>
      <c r="S201" s="6" t="str">
        <f t="shared" si="3"/>
        <v/>
      </c>
    </row>
    <row r="202" spans="1:19" x14ac:dyDescent="0.25">
      <c r="A202" s="6" t="s">
        <v>930</v>
      </c>
      <c r="B202" s="6">
        <v>200</v>
      </c>
      <c r="D202" s="6" t="s">
        <v>916</v>
      </c>
      <c r="E202" s="6" t="s">
        <v>23</v>
      </c>
      <c r="F202" s="6" t="s">
        <v>23</v>
      </c>
      <c r="G202" s="6" t="s">
        <v>23</v>
      </c>
      <c r="H202" s="6" t="s">
        <v>23</v>
      </c>
      <c r="I202" s="15" t="s">
        <v>23</v>
      </c>
      <c r="J202" s="6" t="s">
        <v>23</v>
      </c>
      <c r="K202" s="6" t="s">
        <v>828</v>
      </c>
      <c r="L202" s="6" t="s">
        <v>23</v>
      </c>
      <c r="M202" s="6" t="s">
        <v>23</v>
      </c>
      <c r="N202" s="6" t="s">
        <v>23</v>
      </c>
      <c r="O202" s="6" t="s">
        <v>23</v>
      </c>
      <c r="P202" s="6" t="s">
        <v>23</v>
      </c>
      <c r="Q202" s="6" t="s">
        <v>828</v>
      </c>
      <c r="R202" s="6" t="s">
        <v>23</v>
      </c>
      <c r="S202" s="6" t="str">
        <f t="shared" si="3"/>
        <v/>
      </c>
    </row>
    <row r="203" spans="1:19" x14ac:dyDescent="0.25">
      <c r="A203" s="6" t="s">
        <v>930</v>
      </c>
      <c r="B203" s="6">
        <v>201</v>
      </c>
      <c r="D203" s="6" t="s">
        <v>916</v>
      </c>
      <c r="E203" s="6" t="s">
        <v>23</v>
      </c>
      <c r="F203" s="6" t="s">
        <v>23</v>
      </c>
      <c r="G203" s="6" t="s">
        <v>23</v>
      </c>
      <c r="H203" s="6" t="s">
        <v>23</v>
      </c>
      <c r="I203" s="15" t="s">
        <v>23</v>
      </c>
      <c r="J203" s="6" t="s">
        <v>23</v>
      </c>
      <c r="K203" s="6" t="s">
        <v>636</v>
      </c>
      <c r="L203" s="6" t="s">
        <v>23</v>
      </c>
      <c r="M203" s="6" t="s">
        <v>23</v>
      </c>
      <c r="N203" s="6" t="s">
        <v>23</v>
      </c>
      <c r="O203" s="6" t="s">
        <v>23</v>
      </c>
      <c r="P203" s="6" t="s">
        <v>23</v>
      </c>
      <c r="Q203" s="6" t="s">
        <v>636</v>
      </c>
      <c r="R203" s="6" t="s">
        <v>23</v>
      </c>
      <c r="S203" s="6" t="str">
        <f t="shared" si="3"/>
        <v/>
      </c>
    </row>
    <row r="204" spans="1:19" x14ac:dyDescent="0.25">
      <c r="A204" s="6" t="s">
        <v>930</v>
      </c>
      <c r="B204" s="6">
        <v>202</v>
      </c>
      <c r="D204" s="6" t="s">
        <v>916</v>
      </c>
      <c r="E204" s="6" t="s">
        <v>23</v>
      </c>
      <c r="F204" s="6" t="s">
        <v>23</v>
      </c>
      <c r="G204" s="6" t="s">
        <v>23</v>
      </c>
      <c r="H204" s="6" t="s">
        <v>23</v>
      </c>
      <c r="I204" s="15" t="s">
        <v>23</v>
      </c>
      <c r="J204" s="6" t="s">
        <v>23</v>
      </c>
      <c r="K204" s="6" t="s">
        <v>793</v>
      </c>
      <c r="L204" s="6" t="s">
        <v>23</v>
      </c>
      <c r="M204" s="6" t="s">
        <v>23</v>
      </c>
      <c r="N204" s="6" t="s">
        <v>23</v>
      </c>
      <c r="O204" s="6" t="s">
        <v>23</v>
      </c>
      <c r="P204" s="6" t="s">
        <v>23</v>
      </c>
      <c r="Q204" s="6" t="s">
        <v>793</v>
      </c>
      <c r="R204" s="6" t="s">
        <v>23</v>
      </c>
      <c r="S204" s="6" t="str">
        <f t="shared" si="3"/>
        <v/>
      </c>
    </row>
    <row r="205" spans="1:19" x14ac:dyDescent="0.25">
      <c r="A205" s="6" t="s">
        <v>930</v>
      </c>
      <c r="B205" s="6">
        <v>203</v>
      </c>
      <c r="D205" s="6" t="s">
        <v>916</v>
      </c>
      <c r="E205" s="6" t="s">
        <v>23</v>
      </c>
      <c r="F205" s="6" t="s">
        <v>23</v>
      </c>
      <c r="G205" s="6" t="s">
        <v>23</v>
      </c>
      <c r="H205" s="6" t="s">
        <v>23</v>
      </c>
      <c r="I205" s="15" t="s">
        <v>23</v>
      </c>
      <c r="J205" s="6" t="s">
        <v>23</v>
      </c>
      <c r="K205" s="6" t="s">
        <v>791</v>
      </c>
      <c r="L205" s="6" t="s">
        <v>23</v>
      </c>
      <c r="M205" s="6" t="s">
        <v>23</v>
      </c>
      <c r="N205" s="6" t="s">
        <v>23</v>
      </c>
      <c r="O205" s="6" t="s">
        <v>23</v>
      </c>
      <c r="P205" s="6" t="s">
        <v>23</v>
      </c>
      <c r="Q205" s="6" t="s">
        <v>791</v>
      </c>
      <c r="R205" s="6" t="s">
        <v>23</v>
      </c>
      <c r="S205" s="6" t="str">
        <f t="shared" si="3"/>
        <v/>
      </c>
    </row>
    <row r="206" spans="1:19" x14ac:dyDescent="0.25">
      <c r="A206" s="6" t="s">
        <v>930</v>
      </c>
      <c r="B206" s="6">
        <v>204</v>
      </c>
      <c r="D206" s="6" t="s">
        <v>916</v>
      </c>
      <c r="E206" s="6" t="s">
        <v>23</v>
      </c>
      <c r="F206" s="6" t="s">
        <v>23</v>
      </c>
      <c r="G206" s="6" t="s">
        <v>23</v>
      </c>
      <c r="H206" s="6" t="s">
        <v>23</v>
      </c>
      <c r="I206" s="15" t="s">
        <v>23</v>
      </c>
      <c r="J206" s="6" t="s">
        <v>23</v>
      </c>
      <c r="K206" s="6" t="s">
        <v>877</v>
      </c>
      <c r="L206" s="6" t="s">
        <v>23</v>
      </c>
      <c r="M206" s="6" t="s">
        <v>23</v>
      </c>
      <c r="N206" s="6" t="s">
        <v>23</v>
      </c>
      <c r="O206" s="6" t="s">
        <v>23</v>
      </c>
      <c r="P206" s="6" t="s">
        <v>23</v>
      </c>
      <c r="Q206" s="6" t="s">
        <v>877</v>
      </c>
      <c r="R206" s="6" t="s">
        <v>23</v>
      </c>
      <c r="S206" s="6" t="str">
        <f t="shared" si="3"/>
        <v/>
      </c>
    </row>
    <row r="207" spans="1:19" x14ac:dyDescent="0.25">
      <c r="A207" s="6" t="s">
        <v>930</v>
      </c>
      <c r="B207" s="6">
        <v>205</v>
      </c>
      <c r="D207" s="6" t="s">
        <v>916</v>
      </c>
      <c r="E207" s="6" t="s">
        <v>23</v>
      </c>
      <c r="F207" s="6" t="s">
        <v>23</v>
      </c>
      <c r="G207" s="6" t="s">
        <v>23</v>
      </c>
      <c r="H207" s="6" t="s">
        <v>23</v>
      </c>
      <c r="I207" s="15" t="s">
        <v>23</v>
      </c>
      <c r="J207" s="6" t="s">
        <v>23</v>
      </c>
      <c r="K207" s="6" t="s">
        <v>780</v>
      </c>
      <c r="L207" s="6" t="s">
        <v>23</v>
      </c>
      <c r="M207" s="6" t="s">
        <v>23</v>
      </c>
      <c r="N207" s="6" t="s">
        <v>23</v>
      </c>
      <c r="O207" s="6" t="s">
        <v>23</v>
      </c>
      <c r="P207" s="6" t="s">
        <v>23</v>
      </c>
      <c r="Q207" s="6" t="s">
        <v>780</v>
      </c>
      <c r="R207" s="6" t="s">
        <v>23</v>
      </c>
      <c r="S207" s="6" t="str">
        <f t="shared" si="3"/>
        <v/>
      </c>
    </row>
    <row r="208" spans="1:19" x14ac:dyDescent="0.25">
      <c r="A208" s="6" t="s">
        <v>930</v>
      </c>
      <c r="B208" s="6">
        <v>206</v>
      </c>
      <c r="D208" s="6" t="s">
        <v>916</v>
      </c>
      <c r="E208" s="6" t="s">
        <v>23</v>
      </c>
      <c r="F208" s="6" t="s">
        <v>23</v>
      </c>
      <c r="G208" s="6" t="s">
        <v>23</v>
      </c>
      <c r="H208" s="6" t="s">
        <v>23</v>
      </c>
      <c r="I208" s="15" t="s">
        <v>23</v>
      </c>
      <c r="J208" s="6" t="s">
        <v>23</v>
      </c>
      <c r="K208" s="6" t="s">
        <v>843</v>
      </c>
      <c r="L208" s="6" t="s">
        <v>23</v>
      </c>
      <c r="M208" s="6" t="s">
        <v>23</v>
      </c>
      <c r="N208" s="6" t="s">
        <v>23</v>
      </c>
      <c r="O208" s="6" t="s">
        <v>23</v>
      </c>
      <c r="P208" s="6" t="s">
        <v>23</v>
      </c>
      <c r="Q208" s="6" t="s">
        <v>843</v>
      </c>
      <c r="R208" s="6" t="s">
        <v>23</v>
      </c>
      <c r="S208" s="6" t="str">
        <f t="shared" si="3"/>
        <v/>
      </c>
    </row>
    <row r="209" spans="1:19" x14ac:dyDescent="0.25">
      <c r="A209" s="6" t="s">
        <v>930</v>
      </c>
      <c r="B209" s="6">
        <v>207</v>
      </c>
      <c r="D209" s="6" t="s">
        <v>916</v>
      </c>
      <c r="E209" s="6" t="s">
        <v>23</v>
      </c>
      <c r="F209" s="6" t="s">
        <v>23</v>
      </c>
      <c r="G209" s="6" t="s">
        <v>23</v>
      </c>
      <c r="H209" s="6" t="s">
        <v>23</v>
      </c>
      <c r="I209" s="15" t="s">
        <v>23</v>
      </c>
      <c r="J209" s="6" t="s">
        <v>23</v>
      </c>
      <c r="K209" s="6" t="s">
        <v>896</v>
      </c>
      <c r="L209" s="6" t="s">
        <v>23</v>
      </c>
      <c r="M209" s="6" t="s">
        <v>23</v>
      </c>
      <c r="N209" s="6" t="s">
        <v>23</v>
      </c>
      <c r="O209" s="6" t="s">
        <v>23</v>
      </c>
      <c r="P209" s="6" t="s">
        <v>23</v>
      </c>
      <c r="Q209" s="6" t="s">
        <v>896</v>
      </c>
      <c r="R209" s="6" t="s">
        <v>23</v>
      </c>
      <c r="S209" s="6" t="str">
        <f t="shared" si="3"/>
        <v/>
      </c>
    </row>
    <row r="210" spans="1:19" x14ac:dyDescent="0.25">
      <c r="A210" s="6" t="s">
        <v>930</v>
      </c>
      <c r="B210" s="6">
        <v>208</v>
      </c>
      <c r="D210" s="6" t="s">
        <v>916</v>
      </c>
      <c r="E210" s="6" t="s">
        <v>23</v>
      </c>
      <c r="F210" s="6" t="s">
        <v>23</v>
      </c>
      <c r="G210" s="6" t="s">
        <v>23</v>
      </c>
      <c r="H210" s="6" t="s">
        <v>23</v>
      </c>
      <c r="I210" s="15" t="s">
        <v>23</v>
      </c>
      <c r="J210" s="6" t="s">
        <v>23</v>
      </c>
      <c r="K210" s="6" t="s">
        <v>846</v>
      </c>
      <c r="L210" s="6" t="s">
        <v>23</v>
      </c>
      <c r="M210" s="6" t="s">
        <v>23</v>
      </c>
      <c r="N210" s="6" t="s">
        <v>23</v>
      </c>
      <c r="O210" s="6" t="s">
        <v>23</v>
      </c>
      <c r="P210" s="6" t="s">
        <v>23</v>
      </c>
      <c r="Q210" s="6" t="s">
        <v>846</v>
      </c>
      <c r="R210" s="6" t="s">
        <v>23</v>
      </c>
      <c r="S210" s="6" t="str">
        <f t="shared" si="3"/>
        <v/>
      </c>
    </row>
    <row r="211" spans="1:19" x14ac:dyDescent="0.25">
      <c r="A211" s="6" t="s">
        <v>930</v>
      </c>
      <c r="B211" s="6">
        <v>209</v>
      </c>
      <c r="D211" s="6" t="s">
        <v>916</v>
      </c>
      <c r="E211" s="6" t="s">
        <v>23</v>
      </c>
      <c r="F211" s="6" t="s">
        <v>23</v>
      </c>
      <c r="G211" s="6" t="s">
        <v>23</v>
      </c>
      <c r="H211" s="6" t="s">
        <v>23</v>
      </c>
      <c r="I211" s="15" t="s">
        <v>23</v>
      </c>
      <c r="J211" s="6" t="s">
        <v>23</v>
      </c>
      <c r="K211" s="6" t="s">
        <v>677</v>
      </c>
      <c r="L211" s="6" t="s">
        <v>23</v>
      </c>
      <c r="M211" s="6" t="s">
        <v>23</v>
      </c>
      <c r="N211" s="6" t="s">
        <v>23</v>
      </c>
      <c r="O211" s="6" t="s">
        <v>23</v>
      </c>
      <c r="P211" s="6" t="s">
        <v>23</v>
      </c>
      <c r="Q211" s="6" t="s">
        <v>677</v>
      </c>
      <c r="R211" s="6" t="s">
        <v>23</v>
      </c>
      <c r="S211" s="6" t="str">
        <f t="shared" si="3"/>
        <v/>
      </c>
    </row>
    <row r="212" spans="1:19" x14ac:dyDescent="0.25">
      <c r="A212" s="6" t="s">
        <v>930</v>
      </c>
      <c r="B212" s="6">
        <v>210</v>
      </c>
      <c r="D212" s="6" t="s">
        <v>916</v>
      </c>
      <c r="E212" s="6" t="s">
        <v>23</v>
      </c>
      <c r="F212" s="6" t="s">
        <v>23</v>
      </c>
      <c r="G212" s="6" t="s">
        <v>23</v>
      </c>
      <c r="H212" s="6" t="s">
        <v>23</v>
      </c>
      <c r="I212" s="15" t="s">
        <v>23</v>
      </c>
      <c r="J212" s="6" t="s">
        <v>23</v>
      </c>
      <c r="K212" s="6" t="s">
        <v>887</v>
      </c>
      <c r="L212" s="6" t="s">
        <v>23</v>
      </c>
      <c r="M212" s="6" t="s">
        <v>23</v>
      </c>
      <c r="N212" s="6" t="s">
        <v>23</v>
      </c>
      <c r="O212" s="6" t="s">
        <v>23</v>
      </c>
      <c r="P212" s="6" t="s">
        <v>23</v>
      </c>
      <c r="Q212" s="6" t="s">
        <v>887</v>
      </c>
      <c r="R212" s="6" t="s">
        <v>23</v>
      </c>
      <c r="S212" s="6" t="str">
        <f t="shared" si="3"/>
        <v/>
      </c>
    </row>
    <row r="213" spans="1:19" x14ac:dyDescent="0.25">
      <c r="A213" s="6" t="s">
        <v>930</v>
      </c>
      <c r="B213" s="6">
        <v>211</v>
      </c>
      <c r="D213" s="6" t="s">
        <v>916</v>
      </c>
      <c r="E213" s="6" t="s">
        <v>23</v>
      </c>
      <c r="F213" s="6" t="s">
        <v>23</v>
      </c>
      <c r="G213" s="6" t="s">
        <v>23</v>
      </c>
      <c r="H213" s="6" t="s">
        <v>23</v>
      </c>
      <c r="I213" s="15" t="s">
        <v>23</v>
      </c>
      <c r="J213" s="6" t="s">
        <v>23</v>
      </c>
      <c r="K213" s="6" t="s">
        <v>777</v>
      </c>
      <c r="L213" s="6" t="s">
        <v>23</v>
      </c>
      <c r="M213" s="6" t="s">
        <v>23</v>
      </c>
      <c r="N213" s="6" t="s">
        <v>23</v>
      </c>
      <c r="O213" s="6" t="s">
        <v>23</v>
      </c>
      <c r="P213" s="6" t="s">
        <v>23</v>
      </c>
      <c r="Q213" s="6" t="s">
        <v>777</v>
      </c>
      <c r="R213" s="6" t="s">
        <v>23</v>
      </c>
      <c r="S213" s="6" t="str">
        <f t="shared" si="3"/>
        <v/>
      </c>
    </row>
    <row r="214" spans="1:19" x14ac:dyDescent="0.25">
      <c r="A214" s="6" t="s">
        <v>930</v>
      </c>
      <c r="B214" s="6">
        <v>212</v>
      </c>
      <c r="D214" s="6" t="s">
        <v>916</v>
      </c>
      <c r="E214" s="6" t="s">
        <v>23</v>
      </c>
      <c r="F214" s="6" t="s">
        <v>23</v>
      </c>
      <c r="G214" s="6" t="s">
        <v>23</v>
      </c>
      <c r="H214" s="6" t="s">
        <v>23</v>
      </c>
      <c r="I214" s="15" t="s">
        <v>23</v>
      </c>
      <c r="J214" s="6" t="s">
        <v>23</v>
      </c>
      <c r="K214" s="6" t="s">
        <v>833</v>
      </c>
      <c r="L214" s="6" t="s">
        <v>23</v>
      </c>
      <c r="M214" s="6" t="s">
        <v>23</v>
      </c>
      <c r="N214" s="6" t="s">
        <v>23</v>
      </c>
      <c r="O214" s="6" t="s">
        <v>23</v>
      </c>
      <c r="P214" s="6" t="s">
        <v>23</v>
      </c>
      <c r="Q214" s="6" t="s">
        <v>833</v>
      </c>
      <c r="R214" s="6" t="s">
        <v>23</v>
      </c>
      <c r="S214" s="6" t="str">
        <f t="shared" si="3"/>
        <v/>
      </c>
    </row>
    <row r="215" spans="1:19" x14ac:dyDescent="0.25">
      <c r="A215" s="6" t="s">
        <v>930</v>
      </c>
      <c r="B215" s="6">
        <v>213</v>
      </c>
      <c r="D215" s="6" t="s">
        <v>916</v>
      </c>
      <c r="E215" s="6" t="s">
        <v>23</v>
      </c>
      <c r="F215" s="6" t="s">
        <v>23</v>
      </c>
      <c r="G215" s="6" t="s">
        <v>23</v>
      </c>
      <c r="H215" s="6" t="s">
        <v>23</v>
      </c>
      <c r="I215" s="15" t="s">
        <v>23</v>
      </c>
      <c r="J215" s="6" t="s">
        <v>23</v>
      </c>
      <c r="K215" s="6" t="s">
        <v>773</v>
      </c>
      <c r="L215" s="6" t="s">
        <v>23</v>
      </c>
      <c r="M215" s="6" t="s">
        <v>23</v>
      </c>
      <c r="N215" s="6" t="s">
        <v>23</v>
      </c>
      <c r="O215" s="6" t="s">
        <v>23</v>
      </c>
      <c r="P215" s="6" t="s">
        <v>23</v>
      </c>
      <c r="Q215" s="6" t="s">
        <v>773</v>
      </c>
      <c r="R215" s="6" t="s">
        <v>23</v>
      </c>
      <c r="S215" s="6" t="str">
        <f t="shared" si="3"/>
        <v/>
      </c>
    </row>
    <row r="216" spans="1:19" x14ac:dyDescent="0.25">
      <c r="A216" s="6" t="s">
        <v>930</v>
      </c>
      <c r="B216" s="6">
        <v>214</v>
      </c>
      <c r="D216" s="6" t="s">
        <v>916</v>
      </c>
      <c r="E216" s="6" t="s">
        <v>23</v>
      </c>
      <c r="F216" s="6" t="s">
        <v>23</v>
      </c>
      <c r="G216" s="6" t="s">
        <v>23</v>
      </c>
      <c r="H216" s="6" t="s">
        <v>23</v>
      </c>
      <c r="I216" s="15" t="s">
        <v>23</v>
      </c>
      <c r="J216" s="6" t="s">
        <v>23</v>
      </c>
      <c r="K216" s="6" t="s">
        <v>883</v>
      </c>
      <c r="L216" s="6" t="s">
        <v>23</v>
      </c>
      <c r="M216" s="6" t="s">
        <v>23</v>
      </c>
      <c r="N216" s="6" t="s">
        <v>23</v>
      </c>
      <c r="O216" s="6" t="s">
        <v>23</v>
      </c>
      <c r="P216" s="6" t="s">
        <v>23</v>
      </c>
      <c r="Q216" s="6" t="s">
        <v>883</v>
      </c>
      <c r="R216" s="6" t="s">
        <v>23</v>
      </c>
      <c r="S216" s="6" t="str">
        <f t="shared" si="3"/>
        <v/>
      </c>
    </row>
    <row r="217" spans="1:19" x14ac:dyDescent="0.25">
      <c r="A217" s="6" t="s">
        <v>930</v>
      </c>
      <c r="B217" s="6">
        <v>215</v>
      </c>
      <c r="D217" s="6" t="s">
        <v>916</v>
      </c>
      <c r="E217" s="6" t="s">
        <v>23</v>
      </c>
      <c r="F217" s="6" t="s">
        <v>23</v>
      </c>
      <c r="G217" s="6" t="s">
        <v>23</v>
      </c>
      <c r="H217" s="6" t="s">
        <v>23</v>
      </c>
      <c r="I217" s="15" t="s">
        <v>23</v>
      </c>
      <c r="J217" s="6" t="s">
        <v>23</v>
      </c>
      <c r="K217" s="6" t="s">
        <v>649</v>
      </c>
      <c r="L217" s="6" t="s">
        <v>23</v>
      </c>
      <c r="M217" s="6" t="s">
        <v>23</v>
      </c>
      <c r="N217" s="6" t="s">
        <v>23</v>
      </c>
      <c r="O217" s="6" t="s">
        <v>23</v>
      </c>
      <c r="P217" s="6" t="s">
        <v>23</v>
      </c>
      <c r="Q217" s="6" t="s">
        <v>649</v>
      </c>
      <c r="R217" s="6" t="s">
        <v>23</v>
      </c>
      <c r="S217" s="6" t="str">
        <f t="shared" si="3"/>
        <v/>
      </c>
    </row>
    <row r="218" spans="1:19" x14ac:dyDescent="0.25">
      <c r="A218" s="6" t="s">
        <v>930</v>
      </c>
      <c r="B218" s="6">
        <v>216</v>
      </c>
      <c r="D218" s="6" t="s">
        <v>916</v>
      </c>
      <c r="E218" s="6" t="s">
        <v>23</v>
      </c>
      <c r="F218" s="6" t="s">
        <v>23</v>
      </c>
      <c r="G218" s="6" t="s">
        <v>23</v>
      </c>
      <c r="H218" s="6" t="s">
        <v>23</v>
      </c>
      <c r="I218" s="15" t="s">
        <v>23</v>
      </c>
      <c r="J218" s="6" t="s">
        <v>23</v>
      </c>
      <c r="K218" s="6" t="s">
        <v>862</v>
      </c>
      <c r="L218" s="6" t="s">
        <v>23</v>
      </c>
      <c r="M218" s="6" t="s">
        <v>23</v>
      </c>
      <c r="N218" s="6" t="s">
        <v>23</v>
      </c>
      <c r="O218" s="6" t="s">
        <v>23</v>
      </c>
      <c r="P218" s="6" t="s">
        <v>23</v>
      </c>
      <c r="Q218" s="6" t="s">
        <v>862</v>
      </c>
      <c r="R218" s="6" t="s">
        <v>23</v>
      </c>
      <c r="S218" s="6" t="str">
        <f t="shared" si="3"/>
        <v/>
      </c>
    </row>
    <row r="219" spans="1:19" x14ac:dyDescent="0.25">
      <c r="A219" s="6" t="s">
        <v>930</v>
      </c>
      <c r="B219" s="6">
        <v>217</v>
      </c>
      <c r="D219" s="6" t="s">
        <v>916</v>
      </c>
      <c r="E219" s="6" t="s">
        <v>23</v>
      </c>
      <c r="F219" s="6" t="s">
        <v>23</v>
      </c>
      <c r="G219" s="6" t="s">
        <v>23</v>
      </c>
      <c r="H219" s="6" t="s">
        <v>23</v>
      </c>
      <c r="I219" s="15" t="s">
        <v>23</v>
      </c>
      <c r="J219" s="6" t="s">
        <v>23</v>
      </c>
      <c r="K219" s="6" t="s">
        <v>835</v>
      </c>
      <c r="L219" s="6" t="s">
        <v>23</v>
      </c>
      <c r="M219" s="6" t="s">
        <v>23</v>
      </c>
      <c r="N219" s="6" t="s">
        <v>23</v>
      </c>
      <c r="O219" s="6" t="s">
        <v>23</v>
      </c>
      <c r="P219" s="6" t="s">
        <v>23</v>
      </c>
      <c r="Q219" s="6" t="s">
        <v>835</v>
      </c>
      <c r="R219" s="6" t="s">
        <v>23</v>
      </c>
      <c r="S219" s="6" t="str">
        <f t="shared" si="3"/>
        <v/>
      </c>
    </row>
    <row r="220" spans="1:19" x14ac:dyDescent="0.25">
      <c r="A220" s="6" t="s">
        <v>930</v>
      </c>
      <c r="B220" s="6">
        <v>218</v>
      </c>
      <c r="D220" s="6" t="s">
        <v>916</v>
      </c>
      <c r="E220" s="6" t="s">
        <v>23</v>
      </c>
      <c r="F220" s="6" t="s">
        <v>23</v>
      </c>
      <c r="G220" s="6" t="s">
        <v>23</v>
      </c>
      <c r="H220" s="6" t="s">
        <v>23</v>
      </c>
      <c r="I220" s="15" t="s">
        <v>23</v>
      </c>
      <c r="J220" s="6" t="s">
        <v>23</v>
      </c>
      <c r="K220" s="6" t="s">
        <v>767</v>
      </c>
      <c r="L220" s="6" t="s">
        <v>23</v>
      </c>
      <c r="M220" s="6" t="s">
        <v>23</v>
      </c>
      <c r="N220" s="6" t="s">
        <v>23</v>
      </c>
      <c r="O220" s="6" t="s">
        <v>23</v>
      </c>
      <c r="P220" s="6" t="s">
        <v>23</v>
      </c>
      <c r="Q220" s="6" t="s">
        <v>767</v>
      </c>
      <c r="R220" s="6" t="s">
        <v>23</v>
      </c>
      <c r="S220" s="6" t="str">
        <f t="shared" si="3"/>
        <v/>
      </c>
    </row>
    <row r="221" spans="1:19" x14ac:dyDescent="0.25">
      <c r="A221" s="6" t="s">
        <v>930</v>
      </c>
      <c r="B221" s="6">
        <v>219</v>
      </c>
      <c r="D221" s="6" t="s">
        <v>916</v>
      </c>
      <c r="E221" s="6" t="s">
        <v>23</v>
      </c>
      <c r="F221" s="6" t="s">
        <v>23</v>
      </c>
      <c r="G221" s="6" t="s">
        <v>23</v>
      </c>
      <c r="H221" s="6" t="s">
        <v>23</v>
      </c>
      <c r="I221" s="15" t="s">
        <v>23</v>
      </c>
      <c r="J221" s="6" t="s">
        <v>23</v>
      </c>
      <c r="K221" s="6" t="s">
        <v>681</v>
      </c>
      <c r="L221" s="6" t="s">
        <v>23</v>
      </c>
      <c r="M221" s="6" t="s">
        <v>23</v>
      </c>
      <c r="N221" s="6" t="s">
        <v>23</v>
      </c>
      <c r="O221" s="6" t="s">
        <v>23</v>
      </c>
      <c r="P221" s="6" t="s">
        <v>23</v>
      </c>
      <c r="Q221" s="6" t="s">
        <v>681</v>
      </c>
      <c r="R221" s="6" t="s">
        <v>23</v>
      </c>
      <c r="S221" s="6" t="str">
        <f t="shared" si="3"/>
        <v/>
      </c>
    </row>
    <row r="222" spans="1:19" x14ac:dyDescent="0.25">
      <c r="A222" s="6" t="s">
        <v>930</v>
      </c>
      <c r="B222" s="6">
        <v>220</v>
      </c>
      <c r="D222" s="6" t="s">
        <v>916</v>
      </c>
      <c r="E222" s="6" t="s">
        <v>23</v>
      </c>
      <c r="F222" s="6" t="s">
        <v>23</v>
      </c>
      <c r="G222" s="6" t="s">
        <v>931</v>
      </c>
      <c r="H222" s="6" t="s">
        <v>23</v>
      </c>
      <c r="I222" s="15" t="s">
        <v>23</v>
      </c>
      <c r="J222" s="6" t="s">
        <v>23</v>
      </c>
      <c r="K222" s="6" t="s">
        <v>891</v>
      </c>
      <c r="L222" s="6" t="s">
        <v>23</v>
      </c>
      <c r="M222" s="6" t="s">
        <v>23</v>
      </c>
      <c r="N222" s="6" t="s">
        <v>23</v>
      </c>
      <c r="O222" s="6" t="s">
        <v>23</v>
      </c>
      <c r="P222" s="6" t="s">
        <v>23</v>
      </c>
      <c r="Q222" s="6" t="s">
        <v>891</v>
      </c>
      <c r="R222" s="6" t="s">
        <v>23</v>
      </c>
      <c r="S222" s="6" t="str">
        <f t="shared" si="3"/>
        <v/>
      </c>
    </row>
    <row r="223" spans="1:19" x14ac:dyDescent="0.25">
      <c r="A223" s="6" t="s">
        <v>930</v>
      </c>
      <c r="B223" s="6">
        <v>221</v>
      </c>
      <c r="D223" s="6" t="s">
        <v>916</v>
      </c>
      <c r="E223" s="6" t="s">
        <v>23</v>
      </c>
      <c r="F223" s="6" t="s">
        <v>23</v>
      </c>
      <c r="G223" s="6" t="s">
        <v>23</v>
      </c>
      <c r="H223" s="6" t="s">
        <v>23</v>
      </c>
      <c r="I223" s="15" t="s">
        <v>23</v>
      </c>
      <c r="J223" s="6" t="s">
        <v>23</v>
      </c>
      <c r="K223" s="6" t="s">
        <v>643</v>
      </c>
      <c r="L223" s="6" t="s">
        <v>23</v>
      </c>
      <c r="M223" s="6" t="s">
        <v>23</v>
      </c>
      <c r="N223" s="6" t="s">
        <v>23</v>
      </c>
      <c r="O223" s="6" t="s">
        <v>23</v>
      </c>
      <c r="P223" s="6" t="s">
        <v>23</v>
      </c>
      <c r="Q223" s="6" t="s">
        <v>643</v>
      </c>
      <c r="R223" s="6" t="s">
        <v>23</v>
      </c>
      <c r="S223" s="6" t="str">
        <f t="shared" si="3"/>
        <v/>
      </c>
    </row>
    <row r="224" spans="1:19" x14ac:dyDescent="0.25">
      <c r="A224" s="6" t="s">
        <v>930</v>
      </c>
      <c r="B224" s="6">
        <v>222</v>
      </c>
      <c r="D224" s="6" t="s">
        <v>916</v>
      </c>
      <c r="E224" s="6" t="s">
        <v>23</v>
      </c>
      <c r="F224" s="6" t="s">
        <v>23</v>
      </c>
      <c r="G224" s="6" t="s">
        <v>23</v>
      </c>
      <c r="H224" s="6" t="s">
        <v>23</v>
      </c>
      <c r="I224" s="15" t="s">
        <v>23</v>
      </c>
      <c r="J224" s="6" t="s">
        <v>23</v>
      </c>
      <c r="K224" s="6" t="s">
        <v>748</v>
      </c>
      <c r="L224" s="6" t="s">
        <v>23</v>
      </c>
      <c r="M224" s="6" t="s">
        <v>23</v>
      </c>
      <c r="N224" s="6" t="s">
        <v>23</v>
      </c>
      <c r="O224" s="6" t="s">
        <v>23</v>
      </c>
      <c r="P224" s="6" t="s">
        <v>23</v>
      </c>
      <c r="Q224" s="6" t="s">
        <v>748</v>
      </c>
      <c r="R224" s="6" t="s">
        <v>23</v>
      </c>
      <c r="S224" s="6" t="str">
        <f t="shared" si="3"/>
        <v/>
      </c>
    </row>
    <row r="225" spans="1:19" x14ac:dyDescent="0.25">
      <c r="A225" s="6" t="s">
        <v>930</v>
      </c>
      <c r="B225" s="6">
        <v>223</v>
      </c>
      <c r="D225" s="6" t="s">
        <v>916</v>
      </c>
      <c r="E225" s="6" t="s">
        <v>23</v>
      </c>
      <c r="F225" s="6" t="s">
        <v>23</v>
      </c>
      <c r="G225" s="6" t="s">
        <v>23</v>
      </c>
      <c r="H225" s="6" t="s">
        <v>23</v>
      </c>
      <c r="I225" s="15" t="s">
        <v>23</v>
      </c>
      <c r="J225" s="6" t="s">
        <v>23</v>
      </c>
      <c r="K225" s="6" t="s">
        <v>903</v>
      </c>
      <c r="L225" s="6" t="s">
        <v>23</v>
      </c>
      <c r="M225" s="6" t="s">
        <v>23</v>
      </c>
      <c r="N225" s="6" t="s">
        <v>23</v>
      </c>
      <c r="O225" s="6" t="s">
        <v>23</v>
      </c>
      <c r="P225" s="6" t="s">
        <v>23</v>
      </c>
      <c r="Q225" s="6" t="s">
        <v>903</v>
      </c>
      <c r="R225" s="6" t="s">
        <v>23</v>
      </c>
      <c r="S225" s="6" t="str">
        <f t="shared" si="3"/>
        <v/>
      </c>
    </row>
    <row r="226" spans="1:19" x14ac:dyDescent="0.25">
      <c r="A226" s="6" t="s">
        <v>932</v>
      </c>
      <c r="B226" s="6">
        <v>42</v>
      </c>
      <c r="D226" s="6" t="s">
        <v>916</v>
      </c>
      <c r="E226" s="6" t="s">
        <v>23</v>
      </c>
      <c r="F226" s="6" t="s">
        <v>865</v>
      </c>
      <c r="G226" s="6">
        <v>19</v>
      </c>
      <c r="H226" s="6">
        <v>30</v>
      </c>
      <c r="I226" s="15" t="s">
        <v>772</v>
      </c>
      <c r="J226" s="6">
        <v>36</v>
      </c>
      <c r="K226" s="6" t="s">
        <v>760</v>
      </c>
      <c r="L226" s="6">
        <v>12</v>
      </c>
      <c r="M226" s="6">
        <v>19</v>
      </c>
      <c r="N226" s="6">
        <v>31</v>
      </c>
      <c r="O226" s="6" t="s">
        <v>787</v>
      </c>
      <c r="P226" s="6">
        <v>37</v>
      </c>
      <c r="Q226" s="6" t="s">
        <v>920</v>
      </c>
      <c r="R226" s="6">
        <v>12</v>
      </c>
      <c r="S226" s="6" t="str">
        <f t="shared" si="3"/>
        <v>RATS</v>
      </c>
    </row>
    <row r="227" spans="1:19" x14ac:dyDescent="0.25">
      <c r="A227" s="6" t="s">
        <v>933</v>
      </c>
      <c r="B227" s="6">
        <v>92</v>
      </c>
      <c r="D227" s="6" t="s">
        <v>916</v>
      </c>
      <c r="E227" s="6" t="s">
        <v>23</v>
      </c>
      <c r="F227" s="6" t="s">
        <v>646</v>
      </c>
      <c r="G227" s="6">
        <v>48</v>
      </c>
      <c r="H227" s="6">
        <v>70</v>
      </c>
      <c r="I227" s="15" t="s">
        <v>749</v>
      </c>
      <c r="J227" s="6">
        <v>80</v>
      </c>
      <c r="K227" s="6" t="s">
        <v>757</v>
      </c>
      <c r="L227" s="6" t="s">
        <v>23</v>
      </c>
      <c r="M227" s="6" t="s">
        <v>23</v>
      </c>
      <c r="N227" s="6" t="s">
        <v>23</v>
      </c>
      <c r="O227" s="6" t="s">
        <v>23</v>
      </c>
      <c r="P227" s="6" t="s">
        <v>23</v>
      </c>
      <c r="Q227" s="6" t="s">
        <v>23</v>
      </c>
      <c r="R227" s="6" t="s">
        <v>23</v>
      </c>
      <c r="S227" s="6" t="str">
        <f t="shared" si="3"/>
        <v>RATS</v>
      </c>
    </row>
  </sheetData>
  <pageMargins left="0" right="0" top="0.39374999999999999" bottom="0.39374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73"/>
  <sheetViews>
    <sheetView zoomScaleNormal="100" workbookViewId="0"/>
  </sheetViews>
  <sheetFormatPr defaultColWidth="8.44140625" defaultRowHeight="12" customHeight="1" x14ac:dyDescent="0.25"/>
  <cols>
    <col min="1" max="13" width="11.6640625" customWidth="1"/>
  </cols>
  <sheetData>
    <row r="1" spans="1:13" ht="13.2" x14ac:dyDescent="0.25">
      <c r="A1" s="6" t="s">
        <v>934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3.2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3.2" x14ac:dyDescent="0.25">
      <c r="A3" s="6">
        <v>15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3.2" x14ac:dyDescent="0.25">
      <c r="A4" t="str">
        <f>IFERROR(VLOOKUP($B4,Pinouts!$A$5:$R$227,$A$3,FALSE()),"")</f>
        <v/>
      </c>
      <c r="B4" s="6" t="s">
        <v>609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13.2" x14ac:dyDescent="0.25">
      <c r="A5" s="6" t="s">
        <v>849</v>
      </c>
      <c r="B5" s="6" t="s">
        <v>453</v>
      </c>
      <c r="C5" s="6" t="str">
        <f t="shared" ref="C5:C36" si="0">A5</f>
        <v>A1</v>
      </c>
      <c r="D5" s="6"/>
      <c r="E5" s="6" t="str">
        <f t="shared" ref="E5:E36" si="1">IFERROR(VLOOKUP($G5,$B$5:$C$173,2,FALSE()),"")</f>
        <v>A1</v>
      </c>
      <c r="F5" s="6" t="s">
        <v>849</v>
      </c>
      <c r="G5" s="6" t="s">
        <v>453</v>
      </c>
      <c r="H5" s="6" t="s">
        <v>935</v>
      </c>
      <c r="I5" s="6" t="s">
        <v>936</v>
      </c>
      <c r="J5" s="6" t="s">
        <v>937</v>
      </c>
      <c r="K5" s="6" t="s">
        <v>938</v>
      </c>
      <c r="L5" s="6" t="s">
        <v>939</v>
      </c>
      <c r="M5" s="6" t="str">
        <f t="shared" ref="M5:M36" si="2">IF(G5=B5, "")</f>
        <v/>
      </c>
    </row>
    <row r="6" spans="1:13" ht="13.2" x14ac:dyDescent="0.25">
      <c r="A6" s="6" t="s">
        <v>850</v>
      </c>
      <c r="B6" s="6" t="s">
        <v>606</v>
      </c>
      <c r="C6" s="6" t="str">
        <f t="shared" si="0"/>
        <v>A2</v>
      </c>
      <c r="D6" s="6"/>
      <c r="E6" s="6" t="str">
        <f t="shared" si="1"/>
        <v>A2</v>
      </c>
      <c r="F6" s="6" t="s">
        <v>850</v>
      </c>
      <c r="G6" s="6" t="s">
        <v>606</v>
      </c>
      <c r="H6" s="6" t="s">
        <v>935</v>
      </c>
      <c r="I6" s="6" t="s">
        <v>936</v>
      </c>
      <c r="J6" s="6" t="s">
        <v>940</v>
      </c>
      <c r="K6" s="6" t="s">
        <v>941</v>
      </c>
      <c r="L6" s="6" t="s">
        <v>942</v>
      </c>
      <c r="M6" s="6" t="str">
        <f t="shared" si="2"/>
        <v/>
      </c>
    </row>
    <row r="7" spans="1:13" ht="13.2" x14ac:dyDescent="0.25">
      <c r="A7" s="6" t="s">
        <v>819</v>
      </c>
      <c r="B7" s="6" t="s">
        <v>919</v>
      </c>
      <c r="C7" s="6" t="str">
        <f t="shared" si="0"/>
        <v>A3</v>
      </c>
      <c r="D7" s="6"/>
      <c r="E7" s="6" t="str">
        <f t="shared" si="1"/>
        <v>A3</v>
      </c>
      <c r="F7" s="6" t="s">
        <v>819</v>
      </c>
      <c r="G7" s="6" t="s">
        <v>919</v>
      </c>
      <c r="H7" s="6" t="s">
        <v>943</v>
      </c>
      <c r="I7" s="6" t="s">
        <v>936</v>
      </c>
      <c r="J7" s="6" t="s">
        <v>944</v>
      </c>
      <c r="K7" s="6" t="s">
        <v>945</v>
      </c>
      <c r="L7" s="6" t="s">
        <v>946</v>
      </c>
      <c r="M7" s="6" t="str">
        <f t="shared" si="2"/>
        <v/>
      </c>
    </row>
    <row r="8" spans="1:13" ht="13.2" x14ac:dyDescent="0.25">
      <c r="A8" s="6" t="s">
        <v>746</v>
      </c>
      <c r="B8" s="6" t="s">
        <v>279</v>
      </c>
      <c r="C8" s="6" t="str">
        <f t="shared" si="0"/>
        <v>A4</v>
      </c>
      <c r="D8" s="6"/>
      <c r="E8" s="6" t="str">
        <f t="shared" si="1"/>
        <v>A4</v>
      </c>
      <c r="F8" s="6" t="s">
        <v>746</v>
      </c>
      <c r="G8" s="6" t="s">
        <v>279</v>
      </c>
      <c r="H8" s="6" t="s">
        <v>935</v>
      </c>
      <c r="I8" s="6" t="s">
        <v>936</v>
      </c>
      <c r="J8" s="6" t="s">
        <v>937</v>
      </c>
      <c r="K8" s="6" t="s">
        <v>938</v>
      </c>
      <c r="L8" s="6" t="s">
        <v>947</v>
      </c>
      <c r="M8" s="6" t="str">
        <f t="shared" si="2"/>
        <v/>
      </c>
    </row>
    <row r="9" spans="1:13" ht="13.2" x14ac:dyDescent="0.25">
      <c r="A9" s="6" t="s">
        <v>632</v>
      </c>
      <c r="B9" s="6" t="s">
        <v>252</v>
      </c>
      <c r="C9" s="6" t="str">
        <f t="shared" si="0"/>
        <v>A5</v>
      </c>
      <c r="D9" s="6"/>
      <c r="E9" s="6" t="str">
        <f t="shared" si="1"/>
        <v>A5</v>
      </c>
      <c r="F9" s="6" t="s">
        <v>632</v>
      </c>
      <c r="G9" s="6" t="s">
        <v>252</v>
      </c>
      <c r="H9" s="6" t="s">
        <v>935</v>
      </c>
      <c r="I9" s="6" t="s">
        <v>936</v>
      </c>
      <c r="J9" s="6" t="s">
        <v>937</v>
      </c>
      <c r="K9" s="6" t="s">
        <v>938</v>
      </c>
      <c r="L9" s="6" t="s">
        <v>948</v>
      </c>
      <c r="M9" s="6" t="str">
        <f t="shared" si="2"/>
        <v/>
      </c>
    </row>
    <row r="10" spans="1:13" ht="13.2" x14ac:dyDescent="0.25">
      <c r="A10" s="6" t="s">
        <v>736</v>
      </c>
      <c r="B10" s="6" t="s">
        <v>238</v>
      </c>
      <c r="C10" s="6" t="str">
        <f t="shared" si="0"/>
        <v>A6</v>
      </c>
      <c r="D10" s="6"/>
      <c r="E10" s="6" t="str">
        <f t="shared" si="1"/>
        <v>A6</v>
      </c>
      <c r="F10" s="6" t="s">
        <v>736</v>
      </c>
      <c r="G10" s="6" t="s">
        <v>238</v>
      </c>
      <c r="H10" s="6" t="s">
        <v>935</v>
      </c>
      <c r="I10" s="6" t="s">
        <v>936</v>
      </c>
      <c r="J10" s="6" t="s">
        <v>937</v>
      </c>
      <c r="K10" s="6" t="s">
        <v>938</v>
      </c>
      <c r="L10" s="6" t="s">
        <v>949</v>
      </c>
      <c r="M10" s="6" t="str">
        <f t="shared" si="2"/>
        <v/>
      </c>
    </row>
    <row r="11" spans="1:13" ht="13.2" x14ac:dyDescent="0.25">
      <c r="A11" s="6" t="s">
        <v>826</v>
      </c>
      <c r="B11" s="6" t="s">
        <v>923</v>
      </c>
      <c r="C11" s="6" t="str">
        <f t="shared" si="0"/>
        <v>A7</v>
      </c>
      <c r="D11" s="6"/>
      <c r="E11" s="6" t="str">
        <f t="shared" si="1"/>
        <v>A7</v>
      </c>
      <c r="F11" s="6" t="s">
        <v>826</v>
      </c>
      <c r="G11" s="6" t="s">
        <v>923</v>
      </c>
      <c r="H11" s="6" t="s">
        <v>943</v>
      </c>
      <c r="I11" s="6" t="s">
        <v>936</v>
      </c>
      <c r="J11" s="6" t="s">
        <v>944</v>
      </c>
      <c r="K11" s="6" t="s">
        <v>950</v>
      </c>
      <c r="L11" s="6" t="s">
        <v>946</v>
      </c>
      <c r="M11" s="6" t="str">
        <f t="shared" si="2"/>
        <v/>
      </c>
    </row>
    <row r="12" spans="1:13" ht="13.2" x14ac:dyDescent="0.25">
      <c r="A12" s="6" t="s">
        <v>901</v>
      </c>
      <c r="B12" s="6" t="s">
        <v>533</v>
      </c>
      <c r="C12" s="6" t="str">
        <f t="shared" si="0"/>
        <v>A8</v>
      </c>
      <c r="D12" s="6"/>
      <c r="E12" s="6" t="str">
        <f t="shared" si="1"/>
        <v>A8</v>
      </c>
      <c r="F12" s="6" t="s">
        <v>901</v>
      </c>
      <c r="G12" s="6" t="s">
        <v>533</v>
      </c>
      <c r="H12" s="6" t="s">
        <v>935</v>
      </c>
      <c r="I12" s="6" t="s">
        <v>936</v>
      </c>
      <c r="J12" s="6" t="s">
        <v>940</v>
      </c>
      <c r="K12" s="6" t="s">
        <v>941</v>
      </c>
      <c r="L12" s="6" t="s">
        <v>951</v>
      </c>
      <c r="M12" s="6" t="str">
        <f t="shared" si="2"/>
        <v/>
      </c>
    </row>
    <row r="13" spans="1:13" ht="13.2" x14ac:dyDescent="0.25">
      <c r="A13" s="6" t="s">
        <v>737</v>
      </c>
      <c r="B13" s="6" t="s">
        <v>407</v>
      </c>
      <c r="C13" s="6" t="str">
        <f t="shared" si="0"/>
        <v>A9</v>
      </c>
      <c r="D13" s="6"/>
      <c r="E13" s="6" t="str">
        <f t="shared" si="1"/>
        <v>A9</v>
      </c>
      <c r="F13" s="6" t="s">
        <v>737</v>
      </c>
      <c r="G13" s="6" t="s">
        <v>407</v>
      </c>
      <c r="H13" s="6" t="s">
        <v>935</v>
      </c>
      <c r="I13" s="6" t="s">
        <v>936</v>
      </c>
      <c r="J13" s="6" t="s">
        <v>937</v>
      </c>
      <c r="K13" s="6" t="s">
        <v>938</v>
      </c>
      <c r="L13" s="6" t="s">
        <v>952</v>
      </c>
      <c r="M13" s="6" t="str">
        <f t="shared" si="2"/>
        <v/>
      </c>
    </row>
    <row r="14" spans="1:13" ht="13.2" x14ac:dyDescent="0.25">
      <c r="A14" s="6" t="s">
        <v>733</v>
      </c>
      <c r="B14" s="6" t="s">
        <v>919</v>
      </c>
      <c r="C14" s="6" t="str">
        <f t="shared" si="0"/>
        <v>A10</v>
      </c>
      <c r="D14" s="6"/>
      <c r="E14" s="6" t="str">
        <f t="shared" si="1"/>
        <v>A3</v>
      </c>
      <c r="F14" s="6" t="s">
        <v>733</v>
      </c>
      <c r="G14" s="6" t="s">
        <v>919</v>
      </c>
      <c r="H14" s="6" t="s">
        <v>943</v>
      </c>
      <c r="I14" s="6" t="s">
        <v>936</v>
      </c>
      <c r="J14" s="6" t="s">
        <v>944</v>
      </c>
      <c r="K14" s="6" t="s">
        <v>953</v>
      </c>
      <c r="L14" s="6" t="s">
        <v>946</v>
      </c>
      <c r="M14" s="6" t="str">
        <f t="shared" si="2"/>
        <v/>
      </c>
    </row>
    <row r="15" spans="1:13" ht="13.2" x14ac:dyDescent="0.25">
      <c r="A15" s="6" t="s">
        <v>805</v>
      </c>
      <c r="B15" s="6" t="s">
        <v>303</v>
      </c>
      <c r="C15" s="6" t="str">
        <f t="shared" si="0"/>
        <v>A11</v>
      </c>
      <c r="D15" s="6"/>
      <c r="E15" s="6" t="str">
        <f t="shared" si="1"/>
        <v>A11</v>
      </c>
      <c r="F15" s="6" t="s">
        <v>805</v>
      </c>
      <c r="G15" s="6" t="s">
        <v>303</v>
      </c>
      <c r="H15" s="6" t="s">
        <v>935</v>
      </c>
      <c r="I15" s="6" t="s">
        <v>936</v>
      </c>
      <c r="J15" s="6" t="s">
        <v>937</v>
      </c>
      <c r="K15" s="6" t="s">
        <v>938</v>
      </c>
      <c r="L15" s="6" t="s">
        <v>954</v>
      </c>
      <c r="M15" s="6" t="str">
        <f t="shared" si="2"/>
        <v/>
      </c>
    </row>
    <row r="16" spans="1:13" ht="13.2" x14ac:dyDescent="0.25">
      <c r="A16" s="6" t="s">
        <v>713</v>
      </c>
      <c r="B16" s="6" t="s">
        <v>79</v>
      </c>
      <c r="C16" s="6" t="str">
        <f t="shared" si="0"/>
        <v>A12</v>
      </c>
      <c r="D16" s="6"/>
      <c r="E16" s="6" t="str">
        <f t="shared" si="1"/>
        <v>A12</v>
      </c>
      <c r="F16" s="6" t="s">
        <v>713</v>
      </c>
      <c r="G16" s="6" t="s">
        <v>79</v>
      </c>
      <c r="H16" s="6" t="s">
        <v>935</v>
      </c>
      <c r="I16" s="6" t="s">
        <v>936</v>
      </c>
      <c r="J16" s="6" t="s">
        <v>937</v>
      </c>
      <c r="K16" s="6" t="s">
        <v>938</v>
      </c>
      <c r="L16" s="6" t="s">
        <v>942</v>
      </c>
      <c r="M16" s="6" t="str">
        <f t="shared" si="2"/>
        <v/>
      </c>
    </row>
    <row r="17" spans="1:13" ht="13.2" x14ac:dyDescent="0.25">
      <c r="A17" s="6" t="s">
        <v>718</v>
      </c>
      <c r="B17" s="6" t="s">
        <v>596</v>
      </c>
      <c r="C17" s="6" t="str">
        <f t="shared" si="0"/>
        <v>A13</v>
      </c>
      <c r="D17" s="6"/>
      <c r="E17" s="6" t="str">
        <f t="shared" si="1"/>
        <v>A13</v>
      </c>
      <c r="F17" s="6" t="s">
        <v>718</v>
      </c>
      <c r="G17" s="6" t="s">
        <v>596</v>
      </c>
      <c r="H17" s="6" t="s">
        <v>935</v>
      </c>
      <c r="I17" s="6" t="s">
        <v>936</v>
      </c>
      <c r="J17" s="6" t="s">
        <v>940</v>
      </c>
      <c r="K17" s="6" t="s">
        <v>941</v>
      </c>
      <c r="L17" s="6" t="s">
        <v>955</v>
      </c>
      <c r="M17" s="6" t="str">
        <f t="shared" si="2"/>
        <v/>
      </c>
    </row>
    <row r="18" spans="1:13" ht="13.2" x14ac:dyDescent="0.25">
      <c r="A18" s="6" t="s">
        <v>817</v>
      </c>
      <c r="B18" s="6" t="s">
        <v>311</v>
      </c>
      <c r="C18" s="6" t="str">
        <f t="shared" si="0"/>
        <v>B1</v>
      </c>
      <c r="D18" s="6"/>
      <c r="E18" s="6" t="str">
        <f t="shared" si="1"/>
        <v>B1</v>
      </c>
      <c r="F18" s="6" t="s">
        <v>817</v>
      </c>
      <c r="G18" s="6" t="s">
        <v>311</v>
      </c>
      <c r="H18" s="6" t="s">
        <v>935</v>
      </c>
      <c r="I18" s="6" t="s">
        <v>936</v>
      </c>
      <c r="J18" s="6" t="s">
        <v>937</v>
      </c>
      <c r="K18" s="6" t="s">
        <v>938</v>
      </c>
      <c r="L18" s="6" t="s">
        <v>956</v>
      </c>
      <c r="M18" s="6" t="str">
        <f t="shared" si="2"/>
        <v/>
      </c>
    </row>
    <row r="19" spans="1:13" ht="13.2" x14ac:dyDescent="0.25">
      <c r="A19" s="6" t="s">
        <v>852</v>
      </c>
      <c r="B19" s="6" t="s">
        <v>458</v>
      </c>
      <c r="C19" s="6" t="str">
        <f t="shared" si="0"/>
        <v>B2</v>
      </c>
      <c r="D19" s="6"/>
      <c r="E19" s="6" t="str">
        <f t="shared" si="1"/>
        <v>B2</v>
      </c>
      <c r="F19" s="6" t="s">
        <v>852</v>
      </c>
      <c r="G19" s="6" t="s">
        <v>458</v>
      </c>
      <c r="H19" s="6" t="s">
        <v>935</v>
      </c>
      <c r="I19" s="6" t="s">
        <v>936</v>
      </c>
      <c r="J19" s="6" t="s">
        <v>937</v>
      </c>
      <c r="K19" s="6" t="s">
        <v>938</v>
      </c>
      <c r="L19" s="6" t="s">
        <v>957</v>
      </c>
      <c r="M19" s="6" t="str">
        <f t="shared" si="2"/>
        <v/>
      </c>
    </row>
    <row r="20" spans="1:13" ht="13.2" x14ac:dyDescent="0.25">
      <c r="A20" s="6" t="s">
        <v>858</v>
      </c>
      <c r="B20" s="6" t="s">
        <v>930</v>
      </c>
      <c r="C20" s="6" t="str">
        <f t="shared" si="0"/>
        <v>B3</v>
      </c>
      <c r="D20" s="6"/>
      <c r="E20" s="6" t="str">
        <f t="shared" si="1"/>
        <v>B3</v>
      </c>
      <c r="F20" s="6" t="s">
        <v>858</v>
      </c>
      <c r="G20" s="6" t="s">
        <v>930</v>
      </c>
      <c r="H20" s="6" t="s">
        <v>943</v>
      </c>
      <c r="I20" s="6" t="s">
        <v>936</v>
      </c>
      <c r="J20" s="6" t="s">
        <v>958</v>
      </c>
      <c r="K20" s="6" t="s">
        <v>959</v>
      </c>
      <c r="L20" s="6" t="s">
        <v>960</v>
      </c>
      <c r="M20" s="6" t="str">
        <f t="shared" si="2"/>
        <v/>
      </c>
    </row>
    <row r="21" spans="1:13" ht="13.2" x14ac:dyDescent="0.25">
      <c r="A21" s="6" t="s">
        <v>747</v>
      </c>
      <c r="B21" s="6" t="s">
        <v>917</v>
      </c>
      <c r="C21" s="6" t="str">
        <f t="shared" si="0"/>
        <v>B4</v>
      </c>
      <c r="D21" s="6"/>
      <c r="E21" s="6" t="str">
        <f t="shared" si="1"/>
        <v>B4</v>
      </c>
      <c r="F21" s="6" t="s">
        <v>747</v>
      </c>
      <c r="G21" s="6" t="s">
        <v>917</v>
      </c>
      <c r="H21" s="6" t="s">
        <v>961</v>
      </c>
      <c r="I21" s="6" t="s">
        <v>936</v>
      </c>
      <c r="J21" s="6" t="s">
        <v>940</v>
      </c>
      <c r="K21" s="6" t="s">
        <v>941</v>
      </c>
      <c r="L21" s="6" t="s">
        <v>962</v>
      </c>
      <c r="M21" s="6" t="str">
        <f t="shared" si="2"/>
        <v/>
      </c>
    </row>
    <row r="22" spans="1:13" ht="13.2" x14ac:dyDescent="0.25">
      <c r="A22" s="6" t="s">
        <v>631</v>
      </c>
      <c r="B22" s="6" t="s">
        <v>627</v>
      </c>
      <c r="C22" s="6" t="str">
        <f t="shared" si="0"/>
        <v>B5</v>
      </c>
      <c r="D22" s="6"/>
      <c r="E22" s="6" t="str">
        <f t="shared" si="1"/>
        <v>B5</v>
      </c>
      <c r="F22" s="6" t="s">
        <v>631</v>
      </c>
      <c r="G22" s="6" t="s">
        <v>627</v>
      </c>
      <c r="H22" s="6" t="s">
        <v>963</v>
      </c>
      <c r="I22" s="6" t="s">
        <v>936</v>
      </c>
      <c r="J22" s="6" t="s">
        <v>940</v>
      </c>
      <c r="K22" s="6" t="s">
        <v>941</v>
      </c>
      <c r="L22" s="6" t="s">
        <v>964</v>
      </c>
      <c r="M22" s="6" t="str">
        <f t="shared" si="2"/>
        <v/>
      </c>
    </row>
    <row r="23" spans="1:13" ht="13.2" x14ac:dyDescent="0.25">
      <c r="A23" s="6" t="s">
        <v>734</v>
      </c>
      <c r="B23" s="6" t="s">
        <v>545</v>
      </c>
      <c r="C23" s="6" t="str">
        <f t="shared" si="0"/>
        <v>B6</v>
      </c>
      <c r="D23" s="6"/>
      <c r="E23" s="6" t="str">
        <f t="shared" si="1"/>
        <v>B6</v>
      </c>
      <c r="F23" s="6" t="s">
        <v>734</v>
      </c>
      <c r="G23" s="6" t="s">
        <v>545</v>
      </c>
      <c r="H23" s="6" t="s">
        <v>935</v>
      </c>
      <c r="I23" s="6" t="s">
        <v>936</v>
      </c>
      <c r="J23" s="6" t="s">
        <v>940</v>
      </c>
      <c r="K23" s="6" t="s">
        <v>941</v>
      </c>
      <c r="L23" s="6" t="s">
        <v>956</v>
      </c>
      <c r="M23" s="6" t="str">
        <f t="shared" si="2"/>
        <v/>
      </c>
    </row>
    <row r="24" spans="1:13" ht="13.2" x14ac:dyDescent="0.25">
      <c r="A24" s="6" t="s">
        <v>731</v>
      </c>
      <c r="B24" s="6" t="s">
        <v>930</v>
      </c>
      <c r="C24" s="6" t="str">
        <f t="shared" si="0"/>
        <v>B7</v>
      </c>
      <c r="D24" s="6"/>
      <c r="E24" s="6" t="str">
        <f t="shared" si="1"/>
        <v>B3</v>
      </c>
      <c r="F24" s="6" t="s">
        <v>731</v>
      </c>
      <c r="G24" s="6" t="s">
        <v>930</v>
      </c>
      <c r="H24" s="6" t="s">
        <v>965</v>
      </c>
      <c r="I24" s="6" t="s">
        <v>936</v>
      </c>
      <c r="J24" s="6" t="s">
        <v>958</v>
      </c>
      <c r="K24" s="6" t="s">
        <v>959</v>
      </c>
      <c r="L24" s="6" t="s">
        <v>960</v>
      </c>
      <c r="M24" s="6" t="str">
        <f t="shared" si="2"/>
        <v/>
      </c>
    </row>
    <row r="25" spans="1:13" ht="13.2" x14ac:dyDescent="0.25">
      <c r="A25" s="6" t="s">
        <v>829</v>
      </c>
      <c r="B25" s="6" t="s">
        <v>415</v>
      </c>
      <c r="C25" s="6" t="str">
        <f t="shared" si="0"/>
        <v>B8</v>
      </c>
      <c r="D25" s="6"/>
      <c r="E25" s="6" t="str">
        <f t="shared" si="1"/>
        <v>B8</v>
      </c>
      <c r="F25" s="6" t="s">
        <v>829</v>
      </c>
      <c r="G25" s="6" t="s">
        <v>415</v>
      </c>
      <c r="H25" s="6" t="s">
        <v>935</v>
      </c>
      <c r="I25" s="6" t="s">
        <v>936</v>
      </c>
      <c r="J25" s="6" t="s">
        <v>937</v>
      </c>
      <c r="K25" s="6" t="s">
        <v>938</v>
      </c>
      <c r="L25" s="6" t="s">
        <v>966</v>
      </c>
      <c r="M25" s="6" t="str">
        <f t="shared" si="2"/>
        <v/>
      </c>
    </row>
    <row r="26" spans="1:13" ht="13.2" x14ac:dyDescent="0.25">
      <c r="A26" s="6" t="s">
        <v>808</v>
      </c>
      <c r="B26" s="6" t="s">
        <v>306</v>
      </c>
      <c r="C26" s="6" t="str">
        <f t="shared" si="0"/>
        <v>B9</v>
      </c>
      <c r="D26" s="6"/>
      <c r="E26" s="6" t="str">
        <f t="shared" si="1"/>
        <v>B9</v>
      </c>
      <c r="F26" s="6" t="s">
        <v>808</v>
      </c>
      <c r="G26" s="6" t="s">
        <v>306</v>
      </c>
      <c r="H26" s="6" t="s">
        <v>935</v>
      </c>
      <c r="I26" s="6" t="s">
        <v>936</v>
      </c>
      <c r="J26" s="6" t="s">
        <v>937</v>
      </c>
      <c r="K26" s="6" t="s">
        <v>938</v>
      </c>
      <c r="L26" s="6" t="s">
        <v>967</v>
      </c>
      <c r="M26" s="6" t="str">
        <f t="shared" si="2"/>
        <v/>
      </c>
    </row>
    <row r="27" spans="1:13" ht="13.2" x14ac:dyDescent="0.25">
      <c r="A27" s="6" t="s">
        <v>716</v>
      </c>
      <c r="B27" s="6" t="s">
        <v>930</v>
      </c>
      <c r="C27" s="6" t="str">
        <f t="shared" si="0"/>
        <v>B10</v>
      </c>
      <c r="D27" s="6"/>
      <c r="E27" s="6" t="str">
        <f t="shared" si="1"/>
        <v>B3</v>
      </c>
      <c r="F27" s="6" t="s">
        <v>716</v>
      </c>
      <c r="G27" s="6" t="s">
        <v>930</v>
      </c>
      <c r="H27" s="6" t="s">
        <v>965</v>
      </c>
      <c r="I27" s="6" t="s">
        <v>936</v>
      </c>
      <c r="J27" s="6" t="s">
        <v>958</v>
      </c>
      <c r="K27" s="6" t="s">
        <v>959</v>
      </c>
      <c r="L27" s="6" t="s">
        <v>960</v>
      </c>
      <c r="M27" s="6" t="str">
        <f t="shared" si="2"/>
        <v/>
      </c>
    </row>
    <row r="28" spans="1:13" ht="13.2" x14ac:dyDescent="0.25">
      <c r="A28" s="6" t="s">
        <v>717</v>
      </c>
      <c r="B28" s="6" t="s">
        <v>82</v>
      </c>
      <c r="C28" s="6" t="str">
        <f t="shared" si="0"/>
        <v>B11</v>
      </c>
      <c r="D28" s="6"/>
      <c r="E28" s="6" t="str">
        <f t="shared" si="1"/>
        <v>B11</v>
      </c>
      <c r="F28" s="6" t="s">
        <v>717</v>
      </c>
      <c r="G28" s="6" t="s">
        <v>82</v>
      </c>
      <c r="H28" s="6" t="s">
        <v>935</v>
      </c>
      <c r="I28" s="6" t="s">
        <v>936</v>
      </c>
      <c r="J28" s="6" t="s">
        <v>937</v>
      </c>
      <c r="K28" s="6" t="s">
        <v>938</v>
      </c>
      <c r="L28" s="6" t="s">
        <v>968</v>
      </c>
      <c r="M28" s="6" t="str">
        <f t="shared" si="2"/>
        <v/>
      </c>
    </row>
    <row r="29" spans="1:13" ht="13.2" x14ac:dyDescent="0.25">
      <c r="A29" s="6" t="s">
        <v>820</v>
      </c>
      <c r="B29" s="6" t="s">
        <v>592</v>
      </c>
      <c r="C29" s="6" t="str">
        <f t="shared" si="0"/>
        <v>B12</v>
      </c>
      <c r="D29" s="6"/>
      <c r="E29" s="6" t="str">
        <f t="shared" si="1"/>
        <v>B12</v>
      </c>
      <c r="F29" s="6" t="s">
        <v>820</v>
      </c>
      <c r="G29" s="6" t="s">
        <v>592</v>
      </c>
      <c r="H29" s="6" t="s">
        <v>935</v>
      </c>
      <c r="I29" s="6" t="s">
        <v>936</v>
      </c>
      <c r="J29" s="6" t="s">
        <v>940</v>
      </c>
      <c r="K29" s="6" t="s">
        <v>941</v>
      </c>
      <c r="L29" s="6" t="s">
        <v>969</v>
      </c>
      <c r="M29" s="6" t="str">
        <f t="shared" si="2"/>
        <v/>
      </c>
    </row>
    <row r="30" spans="1:13" ht="13.2" x14ac:dyDescent="0.25">
      <c r="A30" s="6" t="s">
        <v>703</v>
      </c>
      <c r="B30" s="6" t="s">
        <v>590</v>
      </c>
      <c r="C30" s="6" t="str">
        <f t="shared" si="0"/>
        <v>B13</v>
      </c>
      <c r="D30" s="6"/>
      <c r="E30" s="6" t="str">
        <f t="shared" si="1"/>
        <v>B13</v>
      </c>
      <c r="F30" s="6" t="s">
        <v>703</v>
      </c>
      <c r="G30" s="6" t="s">
        <v>590</v>
      </c>
      <c r="H30" s="6" t="s">
        <v>935</v>
      </c>
      <c r="I30" s="6" t="s">
        <v>936</v>
      </c>
      <c r="J30" s="6" t="s">
        <v>940</v>
      </c>
      <c r="K30" s="6" t="s">
        <v>941</v>
      </c>
      <c r="L30" s="6" t="s">
        <v>970</v>
      </c>
      <c r="M30" s="6" t="str">
        <f t="shared" si="2"/>
        <v/>
      </c>
    </row>
    <row r="31" spans="1:13" ht="13.2" x14ac:dyDescent="0.25">
      <c r="A31" s="6" t="s">
        <v>702</v>
      </c>
      <c r="B31" s="6" t="s">
        <v>312</v>
      </c>
      <c r="C31" s="6" t="str">
        <f t="shared" si="0"/>
        <v>C1</v>
      </c>
      <c r="D31" s="6"/>
      <c r="E31" s="6" t="str">
        <f t="shared" si="1"/>
        <v>C1</v>
      </c>
      <c r="F31" s="6" t="s">
        <v>702</v>
      </c>
      <c r="G31" s="6" t="s">
        <v>312</v>
      </c>
      <c r="H31" s="6" t="s">
        <v>935</v>
      </c>
      <c r="I31" s="6" t="s">
        <v>936</v>
      </c>
      <c r="J31" s="6" t="s">
        <v>937</v>
      </c>
      <c r="K31" s="6" t="s">
        <v>938</v>
      </c>
      <c r="L31" s="6" t="s">
        <v>950</v>
      </c>
      <c r="M31" s="6" t="str">
        <f t="shared" si="2"/>
        <v/>
      </c>
    </row>
    <row r="32" spans="1:13" ht="13.2" x14ac:dyDescent="0.25">
      <c r="A32" s="6" t="s">
        <v>856</v>
      </c>
      <c r="B32" s="6" t="s">
        <v>464</v>
      </c>
      <c r="C32" s="6" t="str">
        <f t="shared" si="0"/>
        <v>C2</v>
      </c>
      <c r="D32" s="6"/>
      <c r="E32" s="6" t="str">
        <f t="shared" si="1"/>
        <v>C2</v>
      </c>
      <c r="F32" s="6" t="s">
        <v>856</v>
      </c>
      <c r="G32" s="6" t="s">
        <v>464</v>
      </c>
      <c r="H32" s="6" t="s">
        <v>935</v>
      </c>
      <c r="I32" s="6" t="s">
        <v>936</v>
      </c>
      <c r="J32" s="6" t="s">
        <v>937</v>
      </c>
      <c r="K32" s="6" t="s">
        <v>938</v>
      </c>
      <c r="L32" s="6" t="s">
        <v>971</v>
      </c>
      <c r="M32" s="6" t="str">
        <f t="shared" si="2"/>
        <v/>
      </c>
    </row>
    <row r="33" spans="1:13" ht="13.2" x14ac:dyDescent="0.25">
      <c r="A33" s="6" t="s">
        <v>802</v>
      </c>
      <c r="B33" s="6" t="s">
        <v>604</v>
      </c>
      <c r="C33" s="6" t="str">
        <f t="shared" si="0"/>
        <v>C3</v>
      </c>
      <c r="D33" s="6"/>
      <c r="E33" s="6" t="str">
        <f t="shared" si="1"/>
        <v>C3</v>
      </c>
      <c r="F33" s="6" t="s">
        <v>802</v>
      </c>
      <c r="G33" s="6" t="s">
        <v>604</v>
      </c>
      <c r="H33" s="6" t="s">
        <v>935</v>
      </c>
      <c r="I33" s="6" t="s">
        <v>936</v>
      </c>
      <c r="J33" s="6" t="s">
        <v>940</v>
      </c>
      <c r="K33" s="6" t="s">
        <v>941</v>
      </c>
      <c r="L33" s="6" t="s">
        <v>972</v>
      </c>
      <c r="M33" s="6" t="str">
        <f t="shared" si="2"/>
        <v/>
      </c>
    </row>
    <row r="34" spans="1:13" ht="13.2" x14ac:dyDescent="0.25">
      <c r="A34" s="6" t="s">
        <v>912</v>
      </c>
      <c r="B34" s="6" t="s">
        <v>600</v>
      </c>
      <c r="C34" s="6" t="str">
        <f t="shared" si="0"/>
        <v>C4</v>
      </c>
      <c r="D34" s="6"/>
      <c r="E34" s="6" t="str">
        <f t="shared" si="1"/>
        <v>C4</v>
      </c>
      <c r="F34" s="6" t="s">
        <v>912</v>
      </c>
      <c r="G34" s="6" t="s">
        <v>600</v>
      </c>
      <c r="H34" s="6" t="s">
        <v>935</v>
      </c>
      <c r="I34" s="6" t="s">
        <v>936</v>
      </c>
      <c r="J34" s="6" t="s">
        <v>940</v>
      </c>
      <c r="K34" s="6" t="s">
        <v>941</v>
      </c>
      <c r="L34" s="6" t="s">
        <v>973</v>
      </c>
      <c r="M34" s="6" t="str">
        <f t="shared" si="2"/>
        <v/>
      </c>
    </row>
    <row r="35" spans="1:13" ht="13.2" x14ac:dyDescent="0.25">
      <c r="A35" s="6" t="s">
        <v>729</v>
      </c>
      <c r="B35" s="6" t="s">
        <v>422</v>
      </c>
      <c r="C35" s="6" t="str">
        <f t="shared" si="0"/>
        <v>C5</v>
      </c>
      <c r="D35" s="6"/>
      <c r="E35" s="6" t="str">
        <f t="shared" si="1"/>
        <v>C5</v>
      </c>
      <c r="F35" s="6" t="s">
        <v>729</v>
      </c>
      <c r="G35" s="6" t="s">
        <v>422</v>
      </c>
      <c r="H35" s="6" t="s">
        <v>935</v>
      </c>
      <c r="I35" s="6" t="s">
        <v>936</v>
      </c>
      <c r="J35" s="6" t="s">
        <v>937</v>
      </c>
      <c r="K35" s="6" t="s">
        <v>938</v>
      </c>
      <c r="L35" s="6" t="s">
        <v>962</v>
      </c>
      <c r="M35" s="6" t="str">
        <f t="shared" si="2"/>
        <v/>
      </c>
    </row>
    <row r="36" spans="1:13" ht="13.2" x14ac:dyDescent="0.25">
      <c r="A36" s="6" t="s">
        <v>738</v>
      </c>
      <c r="B36" s="6" t="s">
        <v>245</v>
      </c>
      <c r="C36" s="6" t="str">
        <f t="shared" si="0"/>
        <v>C6</v>
      </c>
      <c r="D36" s="6"/>
      <c r="E36" s="6" t="str">
        <f t="shared" si="1"/>
        <v>C6</v>
      </c>
      <c r="F36" s="6" t="s">
        <v>738</v>
      </c>
      <c r="G36" s="6" t="s">
        <v>245</v>
      </c>
      <c r="H36" s="6" t="s">
        <v>935</v>
      </c>
      <c r="I36" s="6" t="s">
        <v>936</v>
      </c>
      <c r="J36" s="6" t="s">
        <v>937</v>
      </c>
      <c r="K36" s="6" t="s">
        <v>938</v>
      </c>
      <c r="L36" s="6" t="s">
        <v>974</v>
      </c>
      <c r="M36" s="6" t="str">
        <f t="shared" si="2"/>
        <v/>
      </c>
    </row>
    <row r="37" spans="1:13" ht="13.2" x14ac:dyDescent="0.25">
      <c r="A37" s="6" t="s">
        <v>735</v>
      </c>
      <c r="B37" s="6" t="s">
        <v>543</v>
      </c>
      <c r="C37" s="6" t="str">
        <f t="shared" ref="C37:C68" si="3">A37</f>
        <v>C7</v>
      </c>
      <c r="D37" s="6"/>
      <c r="E37" s="6" t="str">
        <f t="shared" ref="E37:E68" si="4">IFERROR(VLOOKUP($G37,$B$5:$C$173,2,FALSE()),"")</f>
        <v>C7</v>
      </c>
      <c r="F37" s="6" t="s">
        <v>735</v>
      </c>
      <c r="G37" s="6" t="s">
        <v>543</v>
      </c>
      <c r="H37" s="6" t="s">
        <v>935</v>
      </c>
      <c r="I37" s="6" t="s">
        <v>936</v>
      </c>
      <c r="J37" s="6" t="s">
        <v>940</v>
      </c>
      <c r="K37" s="6" t="s">
        <v>941</v>
      </c>
      <c r="L37" s="6" t="s">
        <v>950</v>
      </c>
      <c r="M37" s="6" t="str">
        <f t="shared" ref="M37:M68" si="5">IF(G37=B37, "")</f>
        <v/>
      </c>
    </row>
    <row r="38" spans="1:13" ht="13.2" x14ac:dyDescent="0.25">
      <c r="A38" s="6" t="s">
        <v>824</v>
      </c>
      <c r="B38" s="6" t="s">
        <v>536</v>
      </c>
      <c r="C38" s="6" t="str">
        <f t="shared" si="3"/>
        <v>C8</v>
      </c>
      <c r="D38" s="6"/>
      <c r="E38" s="6" t="str">
        <f t="shared" si="4"/>
        <v>C8</v>
      </c>
      <c r="F38" s="6" t="s">
        <v>824</v>
      </c>
      <c r="G38" s="6" t="s">
        <v>536</v>
      </c>
      <c r="H38" s="6" t="s">
        <v>935</v>
      </c>
      <c r="I38" s="6" t="s">
        <v>936</v>
      </c>
      <c r="J38" s="6" t="s">
        <v>940</v>
      </c>
      <c r="K38" s="6" t="s">
        <v>941</v>
      </c>
      <c r="L38" s="6" t="s">
        <v>967</v>
      </c>
      <c r="M38" s="6" t="str">
        <f t="shared" si="5"/>
        <v/>
      </c>
    </row>
    <row r="39" spans="1:13" ht="13.2" x14ac:dyDescent="0.25">
      <c r="A39" s="6" t="s">
        <v>811</v>
      </c>
      <c r="B39" s="6" t="s">
        <v>402</v>
      </c>
      <c r="C39" s="6" t="str">
        <f t="shared" si="3"/>
        <v>C9</v>
      </c>
      <c r="D39" s="6"/>
      <c r="E39" s="6" t="str">
        <f t="shared" si="4"/>
        <v>C9</v>
      </c>
      <c r="F39" s="6" t="s">
        <v>811</v>
      </c>
      <c r="G39" s="6" t="s">
        <v>402</v>
      </c>
      <c r="H39" s="6" t="s">
        <v>935</v>
      </c>
      <c r="I39" s="6" t="s">
        <v>936</v>
      </c>
      <c r="J39" s="6" t="s">
        <v>937</v>
      </c>
      <c r="K39" s="6" t="s">
        <v>938</v>
      </c>
      <c r="L39" s="6" t="s">
        <v>975</v>
      </c>
      <c r="M39" s="6" t="str">
        <f t="shared" si="5"/>
        <v/>
      </c>
    </row>
    <row r="40" spans="1:13" ht="13.2" x14ac:dyDescent="0.25">
      <c r="A40" s="6" t="s">
        <v>712</v>
      </c>
      <c r="B40" s="6" t="s">
        <v>299</v>
      </c>
      <c r="C40" s="6" t="str">
        <f t="shared" si="3"/>
        <v>C10</v>
      </c>
      <c r="D40" s="6"/>
      <c r="E40" s="6" t="str">
        <f t="shared" si="4"/>
        <v>C10</v>
      </c>
      <c r="F40" s="6" t="s">
        <v>712</v>
      </c>
      <c r="G40" s="6" t="s">
        <v>299</v>
      </c>
      <c r="H40" s="6" t="s">
        <v>935</v>
      </c>
      <c r="I40" s="6" t="s">
        <v>936</v>
      </c>
      <c r="J40" s="6" t="s">
        <v>937</v>
      </c>
      <c r="K40" s="6" t="s">
        <v>938</v>
      </c>
      <c r="L40" s="6" t="s">
        <v>951</v>
      </c>
      <c r="M40" s="6" t="str">
        <f t="shared" si="5"/>
        <v/>
      </c>
    </row>
    <row r="41" spans="1:13" ht="13.2" x14ac:dyDescent="0.25">
      <c r="A41" s="6" t="s">
        <v>807</v>
      </c>
      <c r="B41" s="6" t="s">
        <v>598</v>
      </c>
      <c r="C41" s="6" t="str">
        <f t="shared" si="3"/>
        <v>C11</v>
      </c>
      <c r="D41" s="6"/>
      <c r="E41" s="6" t="str">
        <f t="shared" si="4"/>
        <v>C11</v>
      </c>
      <c r="F41" s="6" t="s">
        <v>807</v>
      </c>
      <c r="G41" s="6" t="s">
        <v>598</v>
      </c>
      <c r="H41" s="6" t="s">
        <v>935</v>
      </c>
      <c r="I41" s="6" t="s">
        <v>936</v>
      </c>
      <c r="J41" s="6" t="s">
        <v>940</v>
      </c>
      <c r="K41" s="6" t="s">
        <v>941</v>
      </c>
      <c r="L41" s="6" t="s">
        <v>976</v>
      </c>
      <c r="M41" s="6" t="str">
        <f t="shared" si="5"/>
        <v/>
      </c>
    </row>
    <row r="42" spans="1:13" ht="13.2" x14ac:dyDescent="0.25">
      <c r="A42" s="6" t="s">
        <v>804</v>
      </c>
      <c r="B42" s="6" t="s">
        <v>930</v>
      </c>
      <c r="C42" s="6" t="str">
        <f t="shared" si="3"/>
        <v>C12</v>
      </c>
      <c r="D42" s="6"/>
      <c r="E42" s="6" t="str">
        <f t="shared" si="4"/>
        <v>B3</v>
      </c>
      <c r="F42" s="6" t="s">
        <v>804</v>
      </c>
      <c r="G42" s="6" t="s">
        <v>930</v>
      </c>
      <c r="H42" s="6" t="s">
        <v>965</v>
      </c>
      <c r="I42" s="6" t="s">
        <v>936</v>
      </c>
      <c r="J42" s="6" t="s">
        <v>958</v>
      </c>
      <c r="K42" s="6" t="s">
        <v>959</v>
      </c>
      <c r="L42" s="6" t="s">
        <v>960</v>
      </c>
      <c r="M42" s="6" t="str">
        <f t="shared" si="5"/>
        <v/>
      </c>
    </row>
    <row r="43" spans="1:13" ht="13.2" x14ac:dyDescent="0.25">
      <c r="A43" s="6" t="s">
        <v>700</v>
      </c>
      <c r="B43" s="6" t="s">
        <v>919</v>
      </c>
      <c r="C43" s="6" t="str">
        <f t="shared" si="3"/>
        <v>C13</v>
      </c>
      <c r="D43" s="6"/>
      <c r="E43" s="6" t="str">
        <f t="shared" si="4"/>
        <v>A3</v>
      </c>
      <c r="F43" s="6" t="s">
        <v>700</v>
      </c>
      <c r="G43" s="6" t="s">
        <v>919</v>
      </c>
      <c r="H43" s="6" t="s">
        <v>943</v>
      </c>
      <c r="I43" s="6" t="s">
        <v>936</v>
      </c>
      <c r="J43" s="6" t="s">
        <v>944</v>
      </c>
      <c r="K43" s="6" t="s">
        <v>977</v>
      </c>
      <c r="L43" s="6" t="s">
        <v>946</v>
      </c>
      <c r="M43" s="6" t="str">
        <f t="shared" si="5"/>
        <v/>
      </c>
    </row>
    <row r="44" spans="1:13" ht="13.2" x14ac:dyDescent="0.25">
      <c r="A44" s="6" t="s">
        <v>813</v>
      </c>
      <c r="B44" s="6" t="s">
        <v>919</v>
      </c>
      <c r="C44" s="6" t="str">
        <f t="shared" si="3"/>
        <v>D1</v>
      </c>
      <c r="D44" s="6"/>
      <c r="E44" s="6" t="str">
        <f t="shared" si="4"/>
        <v>A3</v>
      </c>
      <c r="F44" s="6" t="s">
        <v>813</v>
      </c>
      <c r="G44" s="6" t="s">
        <v>919</v>
      </c>
      <c r="H44" s="6" t="s">
        <v>943</v>
      </c>
      <c r="I44" s="6" t="s">
        <v>936</v>
      </c>
      <c r="J44" s="6" t="s">
        <v>944</v>
      </c>
      <c r="K44" s="6" t="s">
        <v>978</v>
      </c>
      <c r="L44" s="6" t="s">
        <v>946</v>
      </c>
      <c r="M44" s="6" t="str">
        <f t="shared" si="5"/>
        <v/>
      </c>
    </row>
    <row r="45" spans="1:13" ht="13.2" x14ac:dyDescent="0.25">
      <c r="A45" s="6" t="s">
        <v>816</v>
      </c>
      <c r="B45" s="6" t="s">
        <v>930</v>
      </c>
      <c r="C45" s="6" t="str">
        <f t="shared" si="3"/>
        <v>D2</v>
      </c>
      <c r="D45" s="6"/>
      <c r="E45" s="6" t="str">
        <f t="shared" si="4"/>
        <v>B3</v>
      </c>
      <c r="F45" s="6" t="s">
        <v>816</v>
      </c>
      <c r="G45" s="6" t="s">
        <v>930</v>
      </c>
      <c r="H45" s="6" t="s">
        <v>965</v>
      </c>
      <c r="I45" s="6" t="s">
        <v>936</v>
      </c>
      <c r="J45" s="6" t="s">
        <v>958</v>
      </c>
      <c r="K45" s="6" t="s">
        <v>959</v>
      </c>
      <c r="L45" s="6" t="s">
        <v>960</v>
      </c>
      <c r="M45" s="6" t="str">
        <f t="shared" si="5"/>
        <v/>
      </c>
    </row>
    <row r="46" spans="1:13" ht="13.2" x14ac:dyDescent="0.25">
      <c r="A46" s="6" t="s">
        <v>854</v>
      </c>
      <c r="B46" s="6" t="s">
        <v>467</v>
      </c>
      <c r="C46" s="6" t="str">
        <f t="shared" si="3"/>
        <v>D3</v>
      </c>
      <c r="D46" s="6"/>
      <c r="E46" s="6" t="str">
        <f t="shared" si="4"/>
        <v>D3</v>
      </c>
      <c r="F46" s="6" t="s">
        <v>854</v>
      </c>
      <c r="G46" s="6" t="s">
        <v>467</v>
      </c>
      <c r="H46" s="6" t="s">
        <v>935</v>
      </c>
      <c r="I46" s="6" t="s">
        <v>936</v>
      </c>
      <c r="J46" s="6" t="s">
        <v>937</v>
      </c>
      <c r="K46" s="6" t="s">
        <v>938</v>
      </c>
      <c r="L46" s="6" t="s">
        <v>979</v>
      </c>
      <c r="M46" s="6" t="str">
        <f t="shared" si="5"/>
        <v/>
      </c>
    </row>
    <row r="47" spans="1:13" ht="13.2" x14ac:dyDescent="0.25">
      <c r="A47" s="6" t="s">
        <v>715</v>
      </c>
      <c r="B47" s="6" t="s">
        <v>461</v>
      </c>
      <c r="C47" s="6" t="str">
        <f t="shared" si="3"/>
        <v>D4</v>
      </c>
      <c r="D47" s="6"/>
      <c r="E47" s="6" t="str">
        <f t="shared" si="4"/>
        <v>D4</v>
      </c>
      <c r="F47" s="6" t="s">
        <v>715</v>
      </c>
      <c r="G47" s="6" t="s">
        <v>461</v>
      </c>
      <c r="H47" s="6" t="s">
        <v>935</v>
      </c>
      <c r="I47" s="6" t="s">
        <v>936</v>
      </c>
      <c r="J47" s="6" t="s">
        <v>937</v>
      </c>
      <c r="K47" s="6" t="s">
        <v>938</v>
      </c>
      <c r="L47" s="6" t="s">
        <v>980</v>
      </c>
      <c r="M47" s="6" t="str">
        <f t="shared" si="5"/>
        <v/>
      </c>
    </row>
    <row r="48" spans="1:13" ht="13.2" x14ac:dyDescent="0.25">
      <c r="A48" s="6" t="s">
        <v>848</v>
      </c>
      <c r="B48" s="6" t="s">
        <v>428</v>
      </c>
      <c r="C48" s="6" t="str">
        <f t="shared" si="3"/>
        <v>D5</v>
      </c>
      <c r="D48" s="6"/>
      <c r="E48" s="6" t="str">
        <f t="shared" si="4"/>
        <v>D5</v>
      </c>
      <c r="F48" s="6" t="s">
        <v>848</v>
      </c>
      <c r="G48" s="6" t="s">
        <v>428</v>
      </c>
      <c r="H48" s="6" t="s">
        <v>935</v>
      </c>
      <c r="I48" s="6" t="s">
        <v>936</v>
      </c>
      <c r="J48" s="6" t="s">
        <v>937</v>
      </c>
      <c r="K48" s="6" t="s">
        <v>938</v>
      </c>
      <c r="L48" s="6" t="s">
        <v>981</v>
      </c>
      <c r="M48" s="6" t="str">
        <f t="shared" si="5"/>
        <v/>
      </c>
    </row>
    <row r="49" spans="1:13" ht="13.2" x14ac:dyDescent="0.25">
      <c r="A49" s="6" t="s">
        <v>633</v>
      </c>
      <c r="B49" s="6" t="s">
        <v>260</v>
      </c>
      <c r="C49" s="6" t="str">
        <f t="shared" si="3"/>
        <v>D6</v>
      </c>
      <c r="D49" s="6"/>
      <c r="E49" s="6" t="str">
        <f t="shared" si="4"/>
        <v>D6</v>
      </c>
      <c r="F49" s="6" t="s">
        <v>633</v>
      </c>
      <c r="G49" s="6" t="s">
        <v>260</v>
      </c>
      <c r="H49" s="6" t="s">
        <v>935</v>
      </c>
      <c r="I49" s="6" t="s">
        <v>936</v>
      </c>
      <c r="J49" s="6" t="s">
        <v>937</v>
      </c>
      <c r="K49" s="6" t="s">
        <v>938</v>
      </c>
      <c r="L49" s="6" t="s">
        <v>982</v>
      </c>
      <c r="M49" s="6" t="str">
        <f t="shared" si="5"/>
        <v/>
      </c>
    </row>
    <row r="50" spans="1:13" ht="13.2" x14ac:dyDescent="0.25">
      <c r="A50" s="6" t="s">
        <v>902</v>
      </c>
      <c r="B50" s="6" t="s">
        <v>539</v>
      </c>
      <c r="C50" s="6" t="str">
        <f t="shared" si="3"/>
        <v>D7</v>
      </c>
      <c r="D50" s="6"/>
      <c r="E50" s="6" t="str">
        <f t="shared" si="4"/>
        <v>D7</v>
      </c>
      <c r="F50" s="6" t="s">
        <v>902</v>
      </c>
      <c r="G50" s="6" t="s">
        <v>539</v>
      </c>
      <c r="H50" s="6" t="s">
        <v>935</v>
      </c>
      <c r="I50" s="6" t="s">
        <v>936</v>
      </c>
      <c r="J50" s="6" t="s">
        <v>940</v>
      </c>
      <c r="K50" s="6" t="s">
        <v>941</v>
      </c>
      <c r="L50" s="6" t="s">
        <v>983</v>
      </c>
      <c r="M50" s="6" t="str">
        <f t="shared" si="5"/>
        <v/>
      </c>
    </row>
    <row r="51" spans="1:13" ht="13.2" x14ac:dyDescent="0.25">
      <c r="A51" s="6" t="s">
        <v>630</v>
      </c>
      <c r="B51" s="6" t="s">
        <v>413</v>
      </c>
      <c r="C51" s="6" t="str">
        <f t="shared" si="3"/>
        <v>D8</v>
      </c>
      <c r="D51" s="6"/>
      <c r="E51" s="6" t="str">
        <f t="shared" si="4"/>
        <v>D8</v>
      </c>
      <c r="F51" s="6" t="s">
        <v>630</v>
      </c>
      <c r="G51" s="6" t="s">
        <v>413</v>
      </c>
      <c r="H51" s="6" t="s">
        <v>935</v>
      </c>
      <c r="I51" s="6" t="s">
        <v>936</v>
      </c>
      <c r="J51" s="6" t="s">
        <v>937</v>
      </c>
      <c r="K51" s="6" t="s">
        <v>938</v>
      </c>
      <c r="L51" s="6" t="s">
        <v>984</v>
      </c>
      <c r="M51" s="6" t="str">
        <f t="shared" si="5"/>
        <v/>
      </c>
    </row>
    <row r="52" spans="1:13" ht="13.2" x14ac:dyDescent="0.25">
      <c r="A52" s="6" t="s">
        <v>806</v>
      </c>
      <c r="B52" s="6" t="s">
        <v>370</v>
      </c>
      <c r="C52" s="6" t="str">
        <f t="shared" si="3"/>
        <v>D9</v>
      </c>
      <c r="D52" s="6"/>
      <c r="E52" s="6" t="str">
        <f t="shared" si="4"/>
        <v>D9</v>
      </c>
      <c r="F52" s="6" t="s">
        <v>806</v>
      </c>
      <c r="G52" s="6" t="s">
        <v>370</v>
      </c>
      <c r="H52" s="6" t="s">
        <v>935</v>
      </c>
      <c r="I52" s="6" t="s">
        <v>936</v>
      </c>
      <c r="J52" s="6" t="s">
        <v>937</v>
      </c>
      <c r="K52" s="6" t="s">
        <v>938</v>
      </c>
      <c r="L52" s="6" t="s">
        <v>985</v>
      </c>
      <c r="M52" s="6" t="str">
        <f t="shared" si="5"/>
        <v/>
      </c>
    </row>
    <row r="53" spans="1:13" ht="13.2" x14ac:dyDescent="0.25">
      <c r="A53" s="6" t="s">
        <v>815</v>
      </c>
      <c r="B53" s="6" t="s">
        <v>573</v>
      </c>
      <c r="C53" s="6" t="str">
        <f t="shared" si="3"/>
        <v>D10</v>
      </c>
      <c r="D53" s="6"/>
      <c r="E53" s="6" t="str">
        <f t="shared" si="4"/>
        <v>D10</v>
      </c>
      <c r="F53" s="6" t="s">
        <v>815</v>
      </c>
      <c r="G53" s="6" t="s">
        <v>573</v>
      </c>
      <c r="H53" s="6" t="s">
        <v>935</v>
      </c>
      <c r="I53" s="6" t="s">
        <v>936</v>
      </c>
      <c r="J53" s="6" t="s">
        <v>940</v>
      </c>
      <c r="K53" s="6" t="s">
        <v>941</v>
      </c>
      <c r="L53" s="6" t="s">
        <v>986</v>
      </c>
      <c r="M53" s="6" t="str">
        <f t="shared" si="5"/>
        <v/>
      </c>
    </row>
    <row r="54" spans="1:13" ht="13.2" x14ac:dyDescent="0.25">
      <c r="A54" s="6" t="s">
        <v>825</v>
      </c>
      <c r="B54" s="6" t="s">
        <v>574</v>
      </c>
      <c r="C54" s="6" t="str">
        <f t="shared" si="3"/>
        <v>D11</v>
      </c>
      <c r="D54" s="6"/>
      <c r="E54" s="6" t="str">
        <f t="shared" si="4"/>
        <v>D11</v>
      </c>
      <c r="F54" s="6" t="s">
        <v>825</v>
      </c>
      <c r="G54" s="6" t="s">
        <v>574</v>
      </c>
      <c r="H54" s="6" t="s">
        <v>935</v>
      </c>
      <c r="I54" s="6" t="s">
        <v>936</v>
      </c>
      <c r="J54" s="6" t="s">
        <v>940</v>
      </c>
      <c r="K54" s="6" t="s">
        <v>941</v>
      </c>
      <c r="L54" s="6" t="s">
        <v>987</v>
      </c>
      <c r="M54" s="6" t="str">
        <f t="shared" si="5"/>
        <v/>
      </c>
    </row>
    <row r="55" spans="1:13" ht="13.2" x14ac:dyDescent="0.25">
      <c r="A55" s="6" t="s">
        <v>708</v>
      </c>
      <c r="B55" s="6" t="s">
        <v>572</v>
      </c>
      <c r="C55" s="6" t="str">
        <f t="shared" si="3"/>
        <v>D12</v>
      </c>
      <c r="D55" s="6"/>
      <c r="E55" s="6" t="str">
        <f t="shared" si="4"/>
        <v>D12</v>
      </c>
      <c r="F55" s="6" t="s">
        <v>708</v>
      </c>
      <c r="G55" s="6" t="s">
        <v>572</v>
      </c>
      <c r="H55" s="6" t="s">
        <v>935</v>
      </c>
      <c r="I55" s="6" t="s">
        <v>936</v>
      </c>
      <c r="J55" s="6" t="s">
        <v>940</v>
      </c>
      <c r="K55" s="6" t="s">
        <v>941</v>
      </c>
      <c r="L55" s="6" t="s">
        <v>988</v>
      </c>
      <c r="M55" s="6" t="str">
        <f t="shared" si="5"/>
        <v/>
      </c>
    </row>
    <row r="56" spans="1:13" ht="13.2" x14ac:dyDescent="0.25">
      <c r="A56" s="6" t="s">
        <v>909</v>
      </c>
      <c r="B56" s="6" t="s">
        <v>925</v>
      </c>
      <c r="C56" s="6" t="str">
        <f t="shared" si="3"/>
        <v>D13</v>
      </c>
      <c r="D56" s="6"/>
      <c r="E56" s="6" t="str">
        <f t="shared" si="4"/>
        <v>D13</v>
      </c>
      <c r="F56" s="6" t="s">
        <v>909</v>
      </c>
      <c r="G56" s="6" t="s">
        <v>925</v>
      </c>
      <c r="H56" s="6" t="s">
        <v>943</v>
      </c>
      <c r="I56" s="6" t="s">
        <v>936</v>
      </c>
      <c r="J56" s="6" t="s">
        <v>944</v>
      </c>
      <c r="K56" s="6" t="s">
        <v>989</v>
      </c>
      <c r="L56" s="6" t="s">
        <v>946</v>
      </c>
      <c r="M56" s="6" t="str">
        <f t="shared" si="5"/>
        <v/>
      </c>
    </row>
    <row r="57" spans="1:13" ht="13.2" x14ac:dyDescent="0.25">
      <c r="A57" s="6" t="s">
        <v>699</v>
      </c>
      <c r="B57" s="6" t="s">
        <v>483</v>
      </c>
      <c r="C57" s="6" t="str">
        <f t="shared" si="3"/>
        <v>E1</v>
      </c>
      <c r="D57" s="6"/>
      <c r="E57" s="6" t="str">
        <f t="shared" si="4"/>
        <v>E1</v>
      </c>
      <c r="F57" s="6" t="s">
        <v>699</v>
      </c>
      <c r="G57" s="6" t="s">
        <v>483</v>
      </c>
      <c r="H57" s="6" t="s">
        <v>935</v>
      </c>
      <c r="I57" s="6" t="s">
        <v>936</v>
      </c>
      <c r="J57" s="6" t="s">
        <v>940</v>
      </c>
      <c r="K57" s="6" t="s">
        <v>941</v>
      </c>
      <c r="L57" s="6" t="s">
        <v>990</v>
      </c>
      <c r="M57" s="6" t="str">
        <f t="shared" si="5"/>
        <v/>
      </c>
    </row>
    <row r="58" spans="1:13" ht="13.2" x14ac:dyDescent="0.25">
      <c r="A58" s="6" t="s">
        <v>873</v>
      </c>
      <c r="B58" s="6" t="s">
        <v>915</v>
      </c>
      <c r="C58" s="6" t="str">
        <f t="shared" si="3"/>
        <v>E2</v>
      </c>
      <c r="D58" s="6"/>
      <c r="E58" s="6" t="str">
        <f t="shared" si="4"/>
        <v>E2</v>
      </c>
      <c r="F58" s="6" t="s">
        <v>873</v>
      </c>
      <c r="G58" s="6" t="s">
        <v>915</v>
      </c>
      <c r="H58" s="6" t="s">
        <v>943</v>
      </c>
      <c r="I58" s="6" t="s">
        <v>936</v>
      </c>
      <c r="J58" s="6" t="s">
        <v>944</v>
      </c>
      <c r="K58" s="6" t="s">
        <v>991</v>
      </c>
      <c r="L58" s="6" t="s">
        <v>946</v>
      </c>
      <c r="M58" s="6" t="str">
        <f t="shared" si="5"/>
        <v/>
      </c>
    </row>
    <row r="59" spans="1:13" ht="13.2" x14ac:dyDescent="0.25">
      <c r="A59" s="6" t="s">
        <v>711</v>
      </c>
      <c r="B59" s="6" t="s">
        <v>607</v>
      </c>
      <c r="C59" s="6" t="str">
        <f t="shared" si="3"/>
        <v>E3</v>
      </c>
      <c r="D59" s="6"/>
      <c r="E59" s="6" t="str">
        <f t="shared" si="4"/>
        <v>E3</v>
      </c>
      <c r="F59" s="6" t="s">
        <v>711</v>
      </c>
      <c r="G59" s="6" t="s">
        <v>607</v>
      </c>
      <c r="H59" s="6" t="s">
        <v>935</v>
      </c>
      <c r="I59" s="6" t="s">
        <v>936</v>
      </c>
      <c r="J59" s="6" t="s">
        <v>940</v>
      </c>
      <c r="K59" s="6" t="s">
        <v>941</v>
      </c>
      <c r="L59" s="6" t="s">
        <v>968</v>
      </c>
      <c r="M59" s="6" t="str">
        <f t="shared" si="5"/>
        <v/>
      </c>
    </row>
    <row r="60" spans="1:13" ht="13.2" x14ac:dyDescent="0.25">
      <c r="A60" s="6" t="s">
        <v>812</v>
      </c>
      <c r="B60" s="6" t="s">
        <v>310</v>
      </c>
      <c r="C60" s="6" t="str">
        <f t="shared" si="3"/>
        <v>E4</v>
      </c>
      <c r="D60" s="6"/>
      <c r="E60" s="6" t="str">
        <f t="shared" si="4"/>
        <v>E4</v>
      </c>
      <c r="F60" s="6" t="s">
        <v>812</v>
      </c>
      <c r="G60" s="6" t="s">
        <v>310</v>
      </c>
      <c r="H60" s="6" t="s">
        <v>935</v>
      </c>
      <c r="I60" s="6" t="s">
        <v>936</v>
      </c>
      <c r="J60" s="6" t="s">
        <v>937</v>
      </c>
      <c r="K60" s="6" t="s">
        <v>938</v>
      </c>
      <c r="L60" s="6" t="s">
        <v>983</v>
      </c>
      <c r="M60" s="6" t="str">
        <f t="shared" si="5"/>
        <v/>
      </c>
    </row>
    <row r="61" spans="1:13" ht="13.2" x14ac:dyDescent="0.25">
      <c r="A61" s="6" t="s">
        <v>745</v>
      </c>
      <c r="B61" s="6" t="s">
        <v>270</v>
      </c>
      <c r="C61" s="6" t="str">
        <f t="shared" si="3"/>
        <v>E5</v>
      </c>
      <c r="D61" s="6"/>
      <c r="E61" s="6" t="str">
        <f t="shared" si="4"/>
        <v>E5</v>
      </c>
      <c r="F61" s="6" t="s">
        <v>745</v>
      </c>
      <c r="G61" s="6" t="s">
        <v>270</v>
      </c>
      <c r="H61" s="6" t="s">
        <v>935</v>
      </c>
      <c r="I61" s="6" t="s">
        <v>936</v>
      </c>
      <c r="J61" s="6" t="s">
        <v>937</v>
      </c>
      <c r="K61" s="6" t="s">
        <v>938</v>
      </c>
      <c r="L61" s="6" t="s">
        <v>992</v>
      </c>
      <c r="M61" s="6" t="str">
        <f t="shared" si="5"/>
        <v/>
      </c>
    </row>
    <row r="62" spans="1:13" ht="13.2" x14ac:dyDescent="0.25">
      <c r="A62" s="6" t="s">
        <v>732</v>
      </c>
      <c r="B62" s="6" t="s">
        <v>231</v>
      </c>
      <c r="C62" s="6" t="str">
        <f t="shared" si="3"/>
        <v>E6</v>
      </c>
      <c r="D62" s="6"/>
      <c r="E62" s="6" t="str">
        <f t="shared" si="4"/>
        <v>E6</v>
      </c>
      <c r="F62" s="6" t="s">
        <v>732</v>
      </c>
      <c r="G62" s="6" t="s">
        <v>231</v>
      </c>
      <c r="H62" s="6" t="s">
        <v>935</v>
      </c>
      <c r="I62" s="6" t="s">
        <v>936</v>
      </c>
      <c r="J62" s="6" t="s">
        <v>937</v>
      </c>
      <c r="K62" s="6" t="s">
        <v>938</v>
      </c>
      <c r="L62" s="6" t="s">
        <v>993</v>
      </c>
      <c r="M62" s="6" t="str">
        <f t="shared" si="5"/>
        <v/>
      </c>
    </row>
    <row r="63" spans="1:13" ht="13.2" x14ac:dyDescent="0.25">
      <c r="A63" s="6" t="s">
        <v>740</v>
      </c>
      <c r="B63" s="6" t="s">
        <v>535</v>
      </c>
      <c r="C63" s="6" t="str">
        <f t="shared" si="3"/>
        <v>E7</v>
      </c>
      <c r="D63" s="6"/>
      <c r="E63" s="6" t="str">
        <f t="shared" si="4"/>
        <v>E7</v>
      </c>
      <c r="F63" s="6" t="s">
        <v>740</v>
      </c>
      <c r="G63" s="6" t="s">
        <v>535</v>
      </c>
      <c r="H63" s="6" t="s">
        <v>935</v>
      </c>
      <c r="I63" s="6" t="s">
        <v>936</v>
      </c>
      <c r="J63" s="6" t="s">
        <v>940</v>
      </c>
      <c r="K63" s="6" t="s">
        <v>941</v>
      </c>
      <c r="L63" s="6" t="s">
        <v>954</v>
      </c>
      <c r="M63" s="6" t="str">
        <f t="shared" si="5"/>
        <v/>
      </c>
    </row>
    <row r="64" spans="1:13" ht="13.2" x14ac:dyDescent="0.25">
      <c r="A64" s="6" t="s">
        <v>822</v>
      </c>
      <c r="B64" s="6" t="s">
        <v>414</v>
      </c>
      <c r="C64" s="6" t="str">
        <f t="shared" si="3"/>
        <v>E8</v>
      </c>
      <c r="D64" s="6"/>
      <c r="E64" s="6" t="str">
        <f t="shared" si="4"/>
        <v>E8</v>
      </c>
      <c r="F64" s="6" t="s">
        <v>822</v>
      </c>
      <c r="G64" s="6" t="s">
        <v>414</v>
      </c>
      <c r="H64" s="6" t="s">
        <v>935</v>
      </c>
      <c r="I64" s="6" t="s">
        <v>936</v>
      </c>
      <c r="J64" s="6" t="s">
        <v>937</v>
      </c>
      <c r="K64" s="6" t="s">
        <v>938</v>
      </c>
      <c r="L64" s="6" t="s">
        <v>938</v>
      </c>
      <c r="M64" s="6" t="str">
        <f t="shared" si="5"/>
        <v/>
      </c>
    </row>
    <row r="65" spans="1:13" ht="13.2" x14ac:dyDescent="0.25">
      <c r="A65" s="6" t="s">
        <v>743</v>
      </c>
      <c r="B65" s="6" t="s">
        <v>374</v>
      </c>
      <c r="C65" s="6" t="str">
        <f t="shared" si="3"/>
        <v>E9</v>
      </c>
      <c r="D65" s="6"/>
      <c r="E65" s="6" t="str">
        <f t="shared" si="4"/>
        <v>E9</v>
      </c>
      <c r="F65" s="6" t="s">
        <v>743</v>
      </c>
      <c r="G65" s="6" t="s">
        <v>374</v>
      </c>
      <c r="H65" s="6" t="s">
        <v>935</v>
      </c>
      <c r="I65" s="6" t="s">
        <v>936</v>
      </c>
      <c r="J65" s="6" t="s">
        <v>937</v>
      </c>
      <c r="K65" s="6" t="s">
        <v>938</v>
      </c>
      <c r="L65" s="6" t="s">
        <v>990</v>
      </c>
      <c r="M65" s="6" t="str">
        <f t="shared" si="5"/>
        <v/>
      </c>
    </row>
    <row r="66" spans="1:13" ht="13.2" x14ac:dyDescent="0.25">
      <c r="A66" s="6" t="s">
        <v>686</v>
      </c>
      <c r="B66" s="6" t="s">
        <v>51</v>
      </c>
      <c r="C66" s="6" t="str">
        <f t="shared" si="3"/>
        <v>E10</v>
      </c>
      <c r="D66" s="6"/>
      <c r="E66" s="6" t="str">
        <f t="shared" si="4"/>
        <v>E10</v>
      </c>
      <c r="F66" s="6" t="s">
        <v>686</v>
      </c>
      <c r="G66" s="6" t="s">
        <v>51</v>
      </c>
      <c r="H66" s="6" t="s">
        <v>935</v>
      </c>
      <c r="I66" s="6" t="s">
        <v>936</v>
      </c>
      <c r="J66" s="6" t="s">
        <v>937</v>
      </c>
      <c r="K66" s="6" t="s">
        <v>938</v>
      </c>
      <c r="L66" s="6" t="s">
        <v>955</v>
      </c>
      <c r="M66" s="6" t="str">
        <f t="shared" si="5"/>
        <v/>
      </c>
    </row>
    <row r="67" spans="1:13" ht="13.2" x14ac:dyDescent="0.25">
      <c r="A67" s="6" t="s">
        <v>693</v>
      </c>
      <c r="B67" s="6" t="s">
        <v>156</v>
      </c>
      <c r="C67" s="6" t="str">
        <f t="shared" si="3"/>
        <v>E11</v>
      </c>
      <c r="D67" s="6"/>
      <c r="E67" s="6" t="str">
        <f t="shared" si="4"/>
        <v>E11</v>
      </c>
      <c r="F67" s="6" t="s">
        <v>693</v>
      </c>
      <c r="G67" s="6" t="s">
        <v>156</v>
      </c>
      <c r="H67" s="6" t="s">
        <v>935</v>
      </c>
      <c r="I67" s="6" t="s">
        <v>936</v>
      </c>
      <c r="J67" s="6" t="s">
        <v>937</v>
      </c>
      <c r="K67" s="6" t="s">
        <v>938</v>
      </c>
      <c r="L67" s="6" t="s">
        <v>969</v>
      </c>
      <c r="M67" s="6" t="str">
        <f t="shared" si="5"/>
        <v/>
      </c>
    </row>
    <row r="68" spans="1:13" ht="13.2" x14ac:dyDescent="0.25">
      <c r="A68" s="6" t="s">
        <v>709</v>
      </c>
      <c r="B68" s="6" t="s">
        <v>76</v>
      </c>
      <c r="C68" s="6" t="str">
        <f t="shared" si="3"/>
        <v>E12</v>
      </c>
      <c r="D68" s="6"/>
      <c r="E68" s="6" t="str">
        <f t="shared" si="4"/>
        <v>E12</v>
      </c>
      <c r="F68" s="6" t="s">
        <v>709</v>
      </c>
      <c r="G68" s="6" t="s">
        <v>76</v>
      </c>
      <c r="H68" s="6" t="s">
        <v>935</v>
      </c>
      <c r="I68" s="6" t="s">
        <v>936</v>
      </c>
      <c r="J68" s="6" t="s">
        <v>937</v>
      </c>
      <c r="K68" s="6" t="s">
        <v>938</v>
      </c>
      <c r="L68" s="6" t="s">
        <v>972</v>
      </c>
      <c r="M68" s="6" t="str">
        <f t="shared" si="5"/>
        <v/>
      </c>
    </row>
    <row r="69" spans="1:13" ht="13.2" x14ac:dyDescent="0.25">
      <c r="A69" s="6" t="s">
        <v>704</v>
      </c>
      <c r="B69" s="6" t="s">
        <v>68</v>
      </c>
      <c r="C69" s="6" t="str">
        <f t="shared" ref="C69:C100" si="6">A69</f>
        <v>E13</v>
      </c>
      <c r="D69" s="6"/>
      <c r="E69" s="6" t="str">
        <f t="shared" ref="E69:E100" si="7">IFERROR(VLOOKUP($G69,$B$5:$C$173,2,FALSE()),"")</f>
        <v>E13</v>
      </c>
      <c r="F69" s="6" t="s">
        <v>704</v>
      </c>
      <c r="G69" s="6" t="s">
        <v>68</v>
      </c>
      <c r="H69" s="6" t="s">
        <v>935</v>
      </c>
      <c r="I69" s="6" t="s">
        <v>936</v>
      </c>
      <c r="J69" s="6" t="s">
        <v>937</v>
      </c>
      <c r="K69" s="6" t="s">
        <v>938</v>
      </c>
      <c r="L69" s="6" t="s">
        <v>973</v>
      </c>
      <c r="M69" s="6" t="str">
        <f t="shared" ref="M69:M100" si="8">IF(G69=B69, "")</f>
        <v/>
      </c>
    </row>
    <row r="70" spans="1:13" ht="13.2" x14ac:dyDescent="0.25">
      <c r="A70" s="6" t="s">
        <v>875</v>
      </c>
      <c r="B70" s="6" t="s">
        <v>511</v>
      </c>
      <c r="C70" s="6" t="str">
        <f t="shared" si="6"/>
        <v>F1</v>
      </c>
      <c r="D70" s="6"/>
      <c r="E70" s="6" t="str">
        <f t="shared" si="7"/>
        <v>F1</v>
      </c>
      <c r="F70" s="6" t="s">
        <v>875</v>
      </c>
      <c r="G70" s="6" t="s">
        <v>511</v>
      </c>
      <c r="H70" s="6" t="s">
        <v>935</v>
      </c>
      <c r="I70" s="6" t="s">
        <v>936</v>
      </c>
      <c r="J70" s="6" t="s">
        <v>940</v>
      </c>
      <c r="K70" s="6" t="s">
        <v>941</v>
      </c>
      <c r="L70" s="6" t="s">
        <v>994</v>
      </c>
      <c r="M70" s="6" t="str">
        <f t="shared" si="8"/>
        <v/>
      </c>
    </row>
    <row r="71" spans="1:13" ht="13.2" x14ac:dyDescent="0.25">
      <c r="A71" s="6" t="s">
        <v>801</v>
      </c>
      <c r="B71" s="6" t="s">
        <v>505</v>
      </c>
      <c r="C71" s="6" t="str">
        <f t="shared" si="6"/>
        <v>F2</v>
      </c>
      <c r="D71" s="6"/>
      <c r="E71" s="6" t="str">
        <f t="shared" si="7"/>
        <v>F2</v>
      </c>
      <c r="F71" s="6" t="s">
        <v>801</v>
      </c>
      <c r="G71" s="6" t="s">
        <v>505</v>
      </c>
      <c r="H71" s="6" t="s">
        <v>935</v>
      </c>
      <c r="I71" s="6" t="s">
        <v>936</v>
      </c>
      <c r="J71" s="6" t="s">
        <v>940</v>
      </c>
      <c r="K71" s="6" t="s">
        <v>941</v>
      </c>
      <c r="L71" s="6" t="s">
        <v>975</v>
      </c>
      <c r="M71" s="6" t="str">
        <f t="shared" si="8"/>
        <v/>
      </c>
    </row>
    <row r="72" spans="1:13" ht="13.2" x14ac:dyDescent="0.25">
      <c r="A72" s="6" t="s">
        <v>874</v>
      </c>
      <c r="B72" s="6" t="s">
        <v>480</v>
      </c>
      <c r="C72" s="6" t="str">
        <f t="shared" si="6"/>
        <v>F3</v>
      </c>
      <c r="D72" s="6"/>
      <c r="E72" s="6" t="str">
        <f t="shared" si="7"/>
        <v>F3</v>
      </c>
      <c r="F72" s="6" t="s">
        <v>874</v>
      </c>
      <c r="G72" s="6" t="s">
        <v>480</v>
      </c>
      <c r="H72" s="6" t="s">
        <v>935</v>
      </c>
      <c r="I72" s="6" t="s">
        <v>936</v>
      </c>
      <c r="J72" s="6" t="s">
        <v>940</v>
      </c>
      <c r="K72" s="6" t="s">
        <v>941</v>
      </c>
      <c r="L72" s="6" t="s">
        <v>985</v>
      </c>
      <c r="M72" s="6" t="str">
        <f t="shared" si="8"/>
        <v/>
      </c>
    </row>
    <row r="73" spans="1:13" ht="13.2" x14ac:dyDescent="0.25">
      <c r="A73" s="6" t="s">
        <v>707</v>
      </c>
      <c r="B73" s="6" t="s">
        <v>595</v>
      </c>
      <c r="C73" s="6" t="str">
        <f t="shared" si="6"/>
        <v>F4</v>
      </c>
      <c r="D73" s="6"/>
      <c r="E73" s="6" t="str">
        <f t="shared" si="7"/>
        <v>F4</v>
      </c>
      <c r="F73" s="6" t="s">
        <v>707</v>
      </c>
      <c r="G73" s="6" t="s">
        <v>595</v>
      </c>
      <c r="H73" s="6" t="s">
        <v>935</v>
      </c>
      <c r="I73" s="6" t="s">
        <v>936</v>
      </c>
      <c r="J73" s="6" t="s">
        <v>940</v>
      </c>
      <c r="K73" s="6" t="s">
        <v>941</v>
      </c>
      <c r="L73" s="6" t="s">
        <v>995</v>
      </c>
      <c r="M73" s="6" t="str">
        <f t="shared" si="8"/>
        <v/>
      </c>
    </row>
    <row r="74" spans="1:13" ht="13.2" x14ac:dyDescent="0.25">
      <c r="A74" s="6" t="s">
        <v>744</v>
      </c>
      <c r="B74" s="6" t="s">
        <v>508</v>
      </c>
      <c r="C74" s="6" t="str">
        <f t="shared" si="6"/>
        <v>F5</v>
      </c>
      <c r="D74" s="6"/>
      <c r="E74" s="6" t="str">
        <f t="shared" si="7"/>
        <v>F5</v>
      </c>
      <c r="F74" s="6" t="s">
        <v>744</v>
      </c>
      <c r="G74" s="6" t="s">
        <v>508</v>
      </c>
      <c r="H74" s="6" t="s">
        <v>935</v>
      </c>
      <c r="I74" s="6" t="s">
        <v>936</v>
      </c>
      <c r="J74" s="6" t="s">
        <v>940</v>
      </c>
      <c r="K74" s="6" t="s">
        <v>941</v>
      </c>
      <c r="L74" s="6" t="s">
        <v>952</v>
      </c>
      <c r="M74" s="6" t="str">
        <f t="shared" si="8"/>
        <v/>
      </c>
    </row>
    <row r="75" spans="1:13" ht="13.2" x14ac:dyDescent="0.25">
      <c r="A75" s="6" t="s">
        <v>730</v>
      </c>
      <c r="B75" s="6" t="s">
        <v>513</v>
      </c>
      <c r="C75" s="6" t="str">
        <f t="shared" si="6"/>
        <v>F6</v>
      </c>
      <c r="D75" s="6"/>
      <c r="E75" s="6" t="str">
        <f t="shared" si="7"/>
        <v>F6</v>
      </c>
      <c r="F75" s="6" t="s">
        <v>730</v>
      </c>
      <c r="G75" s="6" t="s">
        <v>513</v>
      </c>
      <c r="H75" s="6" t="s">
        <v>935</v>
      </c>
      <c r="I75" s="6" t="s">
        <v>936</v>
      </c>
      <c r="J75" s="6" t="s">
        <v>940</v>
      </c>
      <c r="K75" s="6" t="s">
        <v>941</v>
      </c>
      <c r="L75" s="6" t="s">
        <v>984</v>
      </c>
      <c r="M75" s="6" t="str">
        <f t="shared" si="8"/>
        <v/>
      </c>
    </row>
    <row r="76" spans="1:13" ht="13.2" x14ac:dyDescent="0.25">
      <c r="A76" s="6" t="s">
        <v>828</v>
      </c>
      <c r="B76" s="6" t="s">
        <v>561</v>
      </c>
      <c r="C76" s="6" t="str">
        <f t="shared" si="6"/>
        <v>F7</v>
      </c>
      <c r="D76" s="6"/>
      <c r="E76" s="6" t="str">
        <f t="shared" si="7"/>
        <v>F7</v>
      </c>
      <c r="F76" s="6" t="s">
        <v>828</v>
      </c>
      <c r="G76" s="6" t="s">
        <v>561</v>
      </c>
      <c r="H76" s="6" t="s">
        <v>935</v>
      </c>
      <c r="I76" s="6" t="s">
        <v>936</v>
      </c>
      <c r="J76" s="6" t="s">
        <v>940</v>
      </c>
      <c r="K76" s="6" t="s">
        <v>941</v>
      </c>
      <c r="L76" s="6" t="s">
        <v>996</v>
      </c>
      <c r="M76" s="6" t="str">
        <f t="shared" si="8"/>
        <v/>
      </c>
    </row>
    <row r="77" spans="1:13" ht="13.2" x14ac:dyDescent="0.25">
      <c r="A77" s="6" t="s">
        <v>636</v>
      </c>
      <c r="B77" s="6" t="s">
        <v>411</v>
      </c>
      <c r="C77" s="6" t="str">
        <f t="shared" si="6"/>
        <v>F8</v>
      </c>
      <c r="D77" s="6"/>
      <c r="E77" s="6" t="str">
        <f t="shared" si="7"/>
        <v>F8</v>
      </c>
      <c r="F77" s="6" t="s">
        <v>636</v>
      </c>
      <c r="G77" s="6" t="s">
        <v>411</v>
      </c>
      <c r="H77" s="6" t="s">
        <v>935</v>
      </c>
      <c r="I77" s="6" t="s">
        <v>936</v>
      </c>
      <c r="J77" s="6" t="s">
        <v>937</v>
      </c>
      <c r="K77" s="6" t="s">
        <v>938</v>
      </c>
      <c r="L77" s="6" t="s">
        <v>994</v>
      </c>
      <c r="M77" s="6" t="str">
        <f t="shared" si="8"/>
        <v/>
      </c>
    </row>
    <row r="78" spans="1:13" ht="13.2" x14ac:dyDescent="0.25">
      <c r="A78" s="6" t="s">
        <v>793</v>
      </c>
      <c r="B78" s="6" t="s">
        <v>336</v>
      </c>
      <c r="C78" s="6" t="str">
        <f t="shared" si="6"/>
        <v>F9</v>
      </c>
      <c r="D78" s="6"/>
      <c r="E78" s="6" t="str">
        <f t="shared" si="7"/>
        <v>F9</v>
      </c>
      <c r="F78" s="6" t="s">
        <v>793</v>
      </c>
      <c r="G78" s="6" t="s">
        <v>336</v>
      </c>
      <c r="H78" s="6" t="s">
        <v>935</v>
      </c>
      <c r="I78" s="6" t="s">
        <v>936</v>
      </c>
      <c r="J78" s="6" t="s">
        <v>937</v>
      </c>
      <c r="K78" s="6" t="s">
        <v>938</v>
      </c>
      <c r="L78" s="6" t="s">
        <v>978</v>
      </c>
      <c r="M78" s="6" t="str">
        <f t="shared" si="8"/>
        <v/>
      </c>
    </row>
    <row r="79" spans="1:13" ht="13.2" x14ac:dyDescent="0.25">
      <c r="A79" s="6" t="s">
        <v>791</v>
      </c>
      <c r="B79" s="6" t="s">
        <v>345</v>
      </c>
      <c r="C79" s="6" t="str">
        <f t="shared" si="6"/>
        <v>F10</v>
      </c>
      <c r="D79" s="6"/>
      <c r="E79" s="6" t="str">
        <f t="shared" si="7"/>
        <v>F10</v>
      </c>
      <c r="F79" s="6" t="s">
        <v>791</v>
      </c>
      <c r="G79" s="6" t="s">
        <v>345</v>
      </c>
      <c r="H79" s="6" t="s">
        <v>935</v>
      </c>
      <c r="I79" s="6" t="s">
        <v>936</v>
      </c>
      <c r="J79" s="6" t="s">
        <v>937</v>
      </c>
      <c r="K79" s="6" t="s">
        <v>938</v>
      </c>
      <c r="L79" s="6" t="s">
        <v>997</v>
      </c>
      <c r="M79" s="6" t="str">
        <f t="shared" si="8"/>
        <v/>
      </c>
    </row>
    <row r="80" spans="1:13" ht="13.2" x14ac:dyDescent="0.25">
      <c r="A80" s="6" t="s">
        <v>795</v>
      </c>
      <c r="B80" s="6" t="s">
        <v>559</v>
      </c>
      <c r="C80" s="6" t="str">
        <f t="shared" si="6"/>
        <v>F11</v>
      </c>
      <c r="D80" s="6"/>
      <c r="E80" s="6" t="str">
        <f t="shared" si="7"/>
        <v>F11</v>
      </c>
      <c r="F80" s="6" t="s">
        <v>795</v>
      </c>
      <c r="G80" s="6" t="s">
        <v>559</v>
      </c>
      <c r="H80" s="6" t="s">
        <v>935</v>
      </c>
      <c r="I80" s="6" t="s">
        <v>936</v>
      </c>
      <c r="J80" s="6" t="s">
        <v>940</v>
      </c>
      <c r="K80" s="6" t="s">
        <v>941</v>
      </c>
      <c r="L80" s="6" t="s">
        <v>959</v>
      </c>
      <c r="M80" s="6" t="str">
        <f t="shared" si="8"/>
        <v/>
      </c>
    </row>
    <row r="81" spans="1:13" ht="13.2" x14ac:dyDescent="0.25">
      <c r="A81" s="6" t="s">
        <v>688</v>
      </c>
      <c r="B81" s="6" t="s">
        <v>145</v>
      </c>
      <c r="C81" s="6" t="str">
        <f t="shared" si="6"/>
        <v>F12</v>
      </c>
      <c r="D81" s="6"/>
      <c r="E81" s="6" t="str">
        <f t="shared" si="7"/>
        <v>F12</v>
      </c>
      <c r="F81" s="6" t="s">
        <v>688</v>
      </c>
      <c r="G81" s="6" t="s">
        <v>145</v>
      </c>
      <c r="H81" s="6" t="s">
        <v>935</v>
      </c>
      <c r="I81" s="6" t="s">
        <v>936</v>
      </c>
      <c r="J81" s="6" t="s">
        <v>937</v>
      </c>
      <c r="K81" s="6" t="s">
        <v>938</v>
      </c>
      <c r="L81" s="6" t="s">
        <v>970</v>
      </c>
      <c r="M81" s="6" t="str">
        <f t="shared" si="8"/>
        <v/>
      </c>
    </row>
    <row r="82" spans="1:13" ht="13.2" x14ac:dyDescent="0.25">
      <c r="A82" s="6" t="s">
        <v>691</v>
      </c>
      <c r="B82" s="6" t="s">
        <v>61</v>
      </c>
      <c r="C82" s="6" t="str">
        <f t="shared" si="6"/>
        <v>F13</v>
      </c>
      <c r="D82" s="6"/>
      <c r="E82" s="6" t="str">
        <f t="shared" si="7"/>
        <v>F13</v>
      </c>
      <c r="F82" s="6" t="s">
        <v>691</v>
      </c>
      <c r="G82" s="6" t="s">
        <v>61</v>
      </c>
      <c r="H82" s="6" t="s">
        <v>935</v>
      </c>
      <c r="I82" s="6" t="s">
        <v>936</v>
      </c>
      <c r="J82" s="6" t="s">
        <v>937</v>
      </c>
      <c r="K82" s="6" t="s">
        <v>938</v>
      </c>
      <c r="L82" s="6" t="s">
        <v>976</v>
      </c>
      <c r="M82" s="6" t="str">
        <f t="shared" si="8"/>
        <v/>
      </c>
    </row>
    <row r="83" spans="1:13" ht="13.2" x14ac:dyDescent="0.25">
      <c r="A83" s="6" t="s">
        <v>879</v>
      </c>
      <c r="B83" s="6" t="s">
        <v>919</v>
      </c>
      <c r="C83" s="6" t="str">
        <f t="shared" si="6"/>
        <v>G1</v>
      </c>
      <c r="D83" s="6"/>
      <c r="E83" s="6" t="str">
        <f t="shared" si="7"/>
        <v>A3</v>
      </c>
      <c r="F83" s="6" t="s">
        <v>879</v>
      </c>
      <c r="G83" s="6" t="s">
        <v>919</v>
      </c>
      <c r="H83" s="6" t="s">
        <v>943</v>
      </c>
      <c r="I83" s="6" t="s">
        <v>936</v>
      </c>
      <c r="J83" s="6" t="s">
        <v>944</v>
      </c>
      <c r="K83" s="6" t="s">
        <v>997</v>
      </c>
      <c r="L83" s="6" t="s">
        <v>946</v>
      </c>
      <c r="M83" s="6" t="str">
        <f t="shared" si="8"/>
        <v/>
      </c>
    </row>
    <row r="84" spans="1:13" ht="13.2" x14ac:dyDescent="0.25">
      <c r="A84" s="6" t="s">
        <v>878</v>
      </c>
      <c r="B84" s="6" t="s">
        <v>930</v>
      </c>
      <c r="C84" s="6" t="str">
        <f t="shared" si="6"/>
        <v>G2</v>
      </c>
      <c r="D84" s="6"/>
      <c r="E84" s="6" t="str">
        <f t="shared" si="7"/>
        <v>B3</v>
      </c>
      <c r="F84" s="6" t="s">
        <v>878</v>
      </c>
      <c r="G84" s="6" t="s">
        <v>930</v>
      </c>
      <c r="H84" s="6" t="s">
        <v>965</v>
      </c>
      <c r="I84" s="6" t="s">
        <v>936</v>
      </c>
      <c r="J84" s="6" t="s">
        <v>958</v>
      </c>
      <c r="K84" s="6" t="s">
        <v>959</v>
      </c>
      <c r="L84" s="6" t="s">
        <v>960</v>
      </c>
      <c r="M84" s="6" t="str">
        <f t="shared" si="8"/>
        <v/>
      </c>
    </row>
    <row r="85" spans="1:13" ht="13.2" x14ac:dyDescent="0.25">
      <c r="A85" s="6" t="s">
        <v>685</v>
      </c>
      <c r="B85" s="6" t="s">
        <v>518</v>
      </c>
      <c r="C85" s="6" t="str">
        <f t="shared" si="6"/>
        <v>G3</v>
      </c>
      <c r="D85" s="6"/>
      <c r="E85" s="6" t="str">
        <f t="shared" si="7"/>
        <v>G3</v>
      </c>
      <c r="F85" s="6" t="s">
        <v>685</v>
      </c>
      <c r="G85" s="6" t="s">
        <v>518</v>
      </c>
      <c r="H85" s="6" t="s">
        <v>935</v>
      </c>
      <c r="I85" s="6" t="s">
        <v>936</v>
      </c>
      <c r="J85" s="6" t="s">
        <v>940</v>
      </c>
      <c r="K85" s="6" t="s">
        <v>941</v>
      </c>
      <c r="L85" s="6" t="s">
        <v>966</v>
      </c>
      <c r="M85" s="6" t="str">
        <f t="shared" si="8"/>
        <v/>
      </c>
    </row>
    <row r="86" spans="1:13" ht="13.2" x14ac:dyDescent="0.25">
      <c r="A86" s="6" t="s">
        <v>881</v>
      </c>
      <c r="B86" s="6" t="s">
        <v>515</v>
      </c>
      <c r="C86" s="6" t="str">
        <f t="shared" si="6"/>
        <v>G4</v>
      </c>
      <c r="D86" s="6"/>
      <c r="E86" s="6" t="str">
        <f t="shared" si="7"/>
        <v>G4</v>
      </c>
      <c r="F86" s="6" t="s">
        <v>881</v>
      </c>
      <c r="G86" s="6" t="s">
        <v>515</v>
      </c>
      <c r="H86" s="6" t="s">
        <v>935</v>
      </c>
      <c r="I86" s="6" t="s">
        <v>936</v>
      </c>
      <c r="J86" s="6" t="s">
        <v>940</v>
      </c>
      <c r="K86" s="6" t="s">
        <v>941</v>
      </c>
      <c r="L86" s="6" t="s">
        <v>938</v>
      </c>
      <c r="M86" s="6" t="str">
        <f t="shared" si="8"/>
        <v/>
      </c>
    </row>
    <row r="87" spans="1:13" ht="13.2" x14ac:dyDescent="0.25">
      <c r="A87" s="6" t="s">
        <v>695</v>
      </c>
      <c r="B87" s="6" t="s">
        <v>522</v>
      </c>
      <c r="C87" s="6" t="str">
        <f t="shared" si="6"/>
        <v>G5</v>
      </c>
      <c r="D87" s="6"/>
      <c r="E87" s="6" t="str">
        <f t="shared" si="7"/>
        <v>G5</v>
      </c>
      <c r="F87" s="6" t="s">
        <v>695</v>
      </c>
      <c r="G87" s="6" t="s">
        <v>522</v>
      </c>
      <c r="H87" s="6" t="s">
        <v>935</v>
      </c>
      <c r="I87" s="6" t="s">
        <v>936</v>
      </c>
      <c r="J87" s="6" t="s">
        <v>940</v>
      </c>
      <c r="K87" s="6" t="s">
        <v>941</v>
      </c>
      <c r="L87" s="6" t="s">
        <v>998</v>
      </c>
      <c r="M87" s="6" t="str">
        <f t="shared" si="8"/>
        <v/>
      </c>
    </row>
    <row r="88" spans="1:13" ht="13.2" x14ac:dyDescent="0.25">
      <c r="A88" s="6" t="s">
        <v>877</v>
      </c>
      <c r="B88" s="6" t="s">
        <v>486</v>
      </c>
      <c r="C88" s="6" t="str">
        <f t="shared" si="6"/>
        <v>G6</v>
      </c>
      <c r="D88" s="6"/>
      <c r="E88" s="6" t="str">
        <f t="shared" si="7"/>
        <v>G6</v>
      </c>
      <c r="F88" s="6" t="s">
        <v>877</v>
      </c>
      <c r="G88" s="6" t="s">
        <v>486</v>
      </c>
      <c r="H88" s="6" t="s">
        <v>935</v>
      </c>
      <c r="I88" s="6" t="s">
        <v>936</v>
      </c>
      <c r="J88" s="6" t="s">
        <v>940</v>
      </c>
      <c r="K88" s="6" t="s">
        <v>941</v>
      </c>
      <c r="L88" s="6" t="s">
        <v>999</v>
      </c>
      <c r="M88" s="6" t="str">
        <f t="shared" si="8"/>
        <v/>
      </c>
    </row>
    <row r="89" spans="1:13" ht="13.2" x14ac:dyDescent="0.25">
      <c r="A89" s="6" t="s">
        <v>780</v>
      </c>
      <c r="B89" s="6" t="s">
        <v>472</v>
      </c>
      <c r="C89" s="6" t="str">
        <f t="shared" si="6"/>
        <v>G7</v>
      </c>
      <c r="D89" s="6"/>
      <c r="E89" s="6" t="str">
        <f t="shared" si="7"/>
        <v>G7</v>
      </c>
      <c r="F89" s="6" t="s">
        <v>780</v>
      </c>
      <c r="G89" s="6" t="s">
        <v>472</v>
      </c>
      <c r="H89" s="6" t="s">
        <v>935</v>
      </c>
      <c r="I89" s="6" t="s">
        <v>936</v>
      </c>
      <c r="J89" s="6" t="s">
        <v>937</v>
      </c>
      <c r="K89" s="6" t="s">
        <v>938</v>
      </c>
      <c r="L89" s="6" t="s">
        <v>1000</v>
      </c>
      <c r="M89" s="6" t="str">
        <f t="shared" si="8"/>
        <v/>
      </c>
    </row>
    <row r="90" spans="1:13" ht="13.2" x14ac:dyDescent="0.25">
      <c r="A90" s="6" t="s">
        <v>843</v>
      </c>
      <c r="B90" s="6" t="s">
        <v>558</v>
      </c>
      <c r="C90" s="6" t="str">
        <f t="shared" si="6"/>
        <v>G8</v>
      </c>
      <c r="D90" s="6"/>
      <c r="E90" s="6" t="str">
        <f t="shared" si="7"/>
        <v>G8</v>
      </c>
      <c r="F90" s="6" t="s">
        <v>843</v>
      </c>
      <c r="G90" s="6" t="s">
        <v>558</v>
      </c>
      <c r="H90" s="6" t="s">
        <v>935</v>
      </c>
      <c r="I90" s="6" t="s">
        <v>936</v>
      </c>
      <c r="J90" s="6" t="s">
        <v>940</v>
      </c>
      <c r="K90" s="6" t="s">
        <v>941</v>
      </c>
      <c r="L90" s="6" t="s">
        <v>997</v>
      </c>
      <c r="M90" s="6" t="str">
        <f t="shared" si="8"/>
        <v/>
      </c>
    </row>
    <row r="91" spans="1:13" ht="13.2" x14ac:dyDescent="0.25">
      <c r="A91" s="6" t="s">
        <v>896</v>
      </c>
      <c r="B91" s="6" t="s">
        <v>550</v>
      </c>
      <c r="C91" s="6" t="str">
        <f t="shared" si="6"/>
        <v>G9</v>
      </c>
      <c r="D91" s="6"/>
      <c r="E91" s="6" t="str">
        <f t="shared" si="7"/>
        <v>G9</v>
      </c>
      <c r="F91" s="6" t="s">
        <v>896</v>
      </c>
      <c r="G91" s="6" t="s">
        <v>550</v>
      </c>
      <c r="H91" s="6" t="s">
        <v>935</v>
      </c>
      <c r="I91" s="6" t="s">
        <v>936</v>
      </c>
      <c r="J91" s="6" t="s">
        <v>940</v>
      </c>
      <c r="K91" s="6" t="s">
        <v>941</v>
      </c>
      <c r="L91" s="6" t="s">
        <v>945</v>
      </c>
      <c r="M91" s="6" t="str">
        <f t="shared" si="8"/>
        <v/>
      </c>
    </row>
    <row r="92" spans="1:13" ht="13.2" x14ac:dyDescent="0.25">
      <c r="A92" s="6" t="s">
        <v>846</v>
      </c>
      <c r="B92" s="6" t="s">
        <v>555</v>
      </c>
      <c r="C92" s="6" t="str">
        <f t="shared" si="6"/>
        <v>G10</v>
      </c>
      <c r="D92" s="6"/>
      <c r="E92" s="6" t="str">
        <f t="shared" si="7"/>
        <v>G10</v>
      </c>
      <c r="F92" s="6" t="s">
        <v>846</v>
      </c>
      <c r="G92" s="6" t="s">
        <v>555</v>
      </c>
      <c r="H92" s="6" t="s">
        <v>935</v>
      </c>
      <c r="I92" s="6" t="s">
        <v>936</v>
      </c>
      <c r="J92" s="6" t="s">
        <v>940</v>
      </c>
      <c r="K92" s="6" t="s">
        <v>941</v>
      </c>
      <c r="L92" s="6" t="s">
        <v>977</v>
      </c>
      <c r="M92" s="6" t="str">
        <f t="shared" si="8"/>
        <v/>
      </c>
    </row>
    <row r="93" spans="1:13" ht="13.2" x14ac:dyDescent="0.25">
      <c r="A93" s="6" t="s">
        <v>898</v>
      </c>
      <c r="B93" s="6" t="s">
        <v>557</v>
      </c>
      <c r="C93" s="6" t="str">
        <f t="shared" si="6"/>
        <v>G11</v>
      </c>
      <c r="D93" s="6"/>
      <c r="E93" s="6" t="str">
        <f t="shared" si="7"/>
        <v>G11</v>
      </c>
      <c r="F93" s="6" t="s">
        <v>898</v>
      </c>
      <c r="G93" s="6" t="s">
        <v>557</v>
      </c>
      <c r="H93" s="6" t="s">
        <v>935</v>
      </c>
      <c r="I93" s="6" t="s">
        <v>936</v>
      </c>
      <c r="J93" s="6" t="s">
        <v>940</v>
      </c>
      <c r="K93" s="6" t="s">
        <v>941</v>
      </c>
      <c r="L93" s="6" t="s">
        <v>978</v>
      </c>
      <c r="M93" s="6" t="str">
        <f t="shared" si="8"/>
        <v/>
      </c>
    </row>
    <row r="94" spans="1:13" ht="13.2" x14ac:dyDescent="0.25">
      <c r="A94" s="6" t="s">
        <v>799</v>
      </c>
      <c r="B94" s="6" t="s">
        <v>354</v>
      </c>
      <c r="C94" s="6" t="str">
        <f t="shared" si="6"/>
        <v>G12</v>
      </c>
      <c r="D94" s="6"/>
      <c r="E94" s="6" t="str">
        <f t="shared" si="7"/>
        <v>G12</v>
      </c>
      <c r="F94" s="6" t="s">
        <v>799</v>
      </c>
      <c r="G94" s="6" t="s">
        <v>354</v>
      </c>
      <c r="H94" s="6" t="s">
        <v>935</v>
      </c>
      <c r="I94" s="6" t="s">
        <v>936</v>
      </c>
      <c r="J94" s="6" t="s">
        <v>937</v>
      </c>
      <c r="K94" s="6" t="s">
        <v>938</v>
      </c>
      <c r="L94" s="6" t="s">
        <v>959</v>
      </c>
      <c r="M94" s="6" t="str">
        <f t="shared" si="8"/>
        <v/>
      </c>
    </row>
    <row r="95" spans="1:13" ht="13.2" x14ac:dyDescent="0.25">
      <c r="A95" s="6" t="s">
        <v>796</v>
      </c>
      <c r="B95" s="6" t="s">
        <v>362</v>
      </c>
      <c r="C95" s="6" t="str">
        <f t="shared" si="6"/>
        <v>G13</v>
      </c>
      <c r="D95" s="6"/>
      <c r="E95" s="6" t="str">
        <f t="shared" si="7"/>
        <v>G13</v>
      </c>
      <c r="F95" s="6" t="s">
        <v>796</v>
      </c>
      <c r="G95" s="6" t="s">
        <v>362</v>
      </c>
      <c r="H95" s="6" t="s">
        <v>935</v>
      </c>
      <c r="I95" s="6" t="s">
        <v>936</v>
      </c>
      <c r="J95" s="6" t="s">
        <v>937</v>
      </c>
      <c r="K95" s="6" t="s">
        <v>938</v>
      </c>
      <c r="L95" s="6" t="s">
        <v>996</v>
      </c>
      <c r="M95" s="6" t="str">
        <f t="shared" si="8"/>
        <v/>
      </c>
    </row>
    <row r="96" spans="1:13" ht="13.2" x14ac:dyDescent="0.25">
      <c r="A96" s="6" t="s">
        <v>880</v>
      </c>
      <c r="B96" s="6" t="s">
        <v>562</v>
      </c>
      <c r="C96" s="6" t="str">
        <f t="shared" si="6"/>
        <v>H1</v>
      </c>
      <c r="D96" s="6"/>
      <c r="E96" s="6" t="str">
        <f t="shared" si="7"/>
        <v>H1</v>
      </c>
      <c r="F96" s="6" t="s">
        <v>880</v>
      </c>
      <c r="G96" s="6" t="s">
        <v>562</v>
      </c>
      <c r="H96" s="6" t="s">
        <v>935</v>
      </c>
      <c r="I96" s="6" t="s">
        <v>936</v>
      </c>
      <c r="J96" s="6" t="s">
        <v>940</v>
      </c>
      <c r="K96" s="6" t="s">
        <v>941</v>
      </c>
      <c r="L96" s="6" t="s">
        <v>1001</v>
      </c>
      <c r="M96" s="6" t="str">
        <f t="shared" si="8"/>
        <v/>
      </c>
    </row>
    <row r="97" spans="1:13" ht="13.2" x14ac:dyDescent="0.25">
      <c r="A97" s="6" t="s">
        <v>876</v>
      </c>
      <c r="B97" s="6" t="s">
        <v>564</v>
      </c>
      <c r="C97" s="6" t="str">
        <f t="shared" si="6"/>
        <v>H2</v>
      </c>
      <c r="D97" s="6"/>
      <c r="E97" s="6" t="str">
        <f t="shared" si="7"/>
        <v>H2</v>
      </c>
      <c r="F97" s="6" t="s">
        <v>876</v>
      </c>
      <c r="G97" s="6" t="s">
        <v>564</v>
      </c>
      <c r="H97" s="6" t="s">
        <v>935</v>
      </c>
      <c r="I97" s="6" t="s">
        <v>936</v>
      </c>
      <c r="J97" s="6" t="s">
        <v>940</v>
      </c>
      <c r="K97" s="6" t="s">
        <v>941</v>
      </c>
      <c r="L97" s="6" t="s">
        <v>1002</v>
      </c>
      <c r="M97" s="6" t="str">
        <f t="shared" si="8"/>
        <v/>
      </c>
    </row>
    <row r="98" spans="1:13" ht="13.2" x14ac:dyDescent="0.25">
      <c r="A98" s="6" t="s">
        <v>637</v>
      </c>
      <c r="B98" s="6" t="s">
        <v>526</v>
      </c>
      <c r="C98" s="6" t="str">
        <f t="shared" si="6"/>
        <v>H3</v>
      </c>
      <c r="D98" s="6"/>
      <c r="E98" s="6" t="str">
        <f t="shared" si="7"/>
        <v>H3</v>
      </c>
      <c r="F98" s="6" t="s">
        <v>637</v>
      </c>
      <c r="G98" s="6" t="s">
        <v>526</v>
      </c>
      <c r="H98" s="6" t="s">
        <v>935</v>
      </c>
      <c r="I98" s="6" t="s">
        <v>936</v>
      </c>
      <c r="J98" s="6" t="s">
        <v>940</v>
      </c>
      <c r="K98" s="6" t="s">
        <v>941</v>
      </c>
      <c r="L98" s="6" t="s">
        <v>1003</v>
      </c>
      <c r="M98" s="6" t="str">
        <f t="shared" si="8"/>
        <v/>
      </c>
    </row>
    <row r="99" spans="1:13" ht="13.2" x14ac:dyDescent="0.25">
      <c r="A99" s="6" t="s">
        <v>639</v>
      </c>
      <c r="B99" s="6" t="s">
        <v>24</v>
      </c>
      <c r="C99" s="6" t="str">
        <f t="shared" si="6"/>
        <v>H4</v>
      </c>
      <c r="D99" s="6"/>
      <c r="E99" s="6" t="str">
        <f t="shared" si="7"/>
        <v>H4</v>
      </c>
      <c r="F99" s="6" t="s">
        <v>639</v>
      </c>
      <c r="G99" s="6" t="s">
        <v>24</v>
      </c>
      <c r="H99" s="6" t="s">
        <v>963</v>
      </c>
      <c r="I99" s="6" t="s">
        <v>936</v>
      </c>
      <c r="J99" s="6" t="s">
        <v>940</v>
      </c>
      <c r="K99" s="6" t="s">
        <v>941</v>
      </c>
      <c r="L99" s="6" t="s">
        <v>1004</v>
      </c>
      <c r="M99" s="6" t="str">
        <f t="shared" si="8"/>
        <v/>
      </c>
    </row>
    <row r="100" spans="1:13" ht="13.2" x14ac:dyDescent="0.25">
      <c r="A100" s="6" t="s">
        <v>650</v>
      </c>
      <c r="B100" s="6" t="s">
        <v>318</v>
      </c>
      <c r="C100" s="6" t="str">
        <f t="shared" si="6"/>
        <v>H5</v>
      </c>
      <c r="D100" s="6"/>
      <c r="E100" s="6" t="str">
        <f t="shared" si="7"/>
        <v>H5</v>
      </c>
      <c r="F100" s="6" t="s">
        <v>650</v>
      </c>
      <c r="G100" s="6" t="s">
        <v>318</v>
      </c>
      <c r="H100" s="6" t="s">
        <v>935</v>
      </c>
      <c r="I100" s="6" t="s">
        <v>936</v>
      </c>
      <c r="J100" s="6" t="s">
        <v>937</v>
      </c>
      <c r="K100" s="6" t="s">
        <v>938</v>
      </c>
      <c r="L100" s="6" t="s">
        <v>945</v>
      </c>
      <c r="M100" s="6" t="str">
        <f t="shared" si="8"/>
        <v/>
      </c>
    </row>
    <row r="101" spans="1:13" ht="13.2" x14ac:dyDescent="0.25">
      <c r="A101" s="6" t="s">
        <v>677</v>
      </c>
      <c r="B101" s="6" t="s">
        <v>329</v>
      </c>
      <c r="C101" s="6" t="str">
        <f t="shared" ref="C101:C132" si="9">A101</f>
        <v>H6</v>
      </c>
      <c r="D101" s="6"/>
      <c r="E101" s="6" t="str">
        <f t="shared" ref="E101:E132" si="10">IFERROR(VLOOKUP($G101,$B$5:$C$173,2,FALSE()),"")</f>
        <v>H6</v>
      </c>
      <c r="F101" s="6" t="s">
        <v>677</v>
      </c>
      <c r="G101" s="6" t="s">
        <v>329</v>
      </c>
      <c r="H101" s="6" t="s">
        <v>935</v>
      </c>
      <c r="I101" s="6" t="s">
        <v>936</v>
      </c>
      <c r="J101" s="6" t="s">
        <v>937</v>
      </c>
      <c r="K101" s="6" t="s">
        <v>938</v>
      </c>
      <c r="L101" s="6" t="s">
        <v>977</v>
      </c>
      <c r="M101" s="6" t="str">
        <f t="shared" ref="M101:M132" si="11">IF(G101=B101, "")</f>
        <v/>
      </c>
    </row>
    <row r="102" spans="1:13" ht="13.2" x14ac:dyDescent="0.25">
      <c r="A102" s="6" t="s">
        <v>887</v>
      </c>
      <c r="B102" s="6" t="s">
        <v>496</v>
      </c>
      <c r="C102" s="6" t="str">
        <f t="shared" si="9"/>
        <v>H7</v>
      </c>
      <c r="D102" s="6"/>
      <c r="E102" s="6" t="str">
        <f t="shared" si="10"/>
        <v>H7</v>
      </c>
      <c r="F102" s="6" t="s">
        <v>887</v>
      </c>
      <c r="G102" s="6" t="s">
        <v>496</v>
      </c>
      <c r="H102" s="6" t="s">
        <v>935</v>
      </c>
      <c r="I102" s="6" t="s">
        <v>936</v>
      </c>
      <c r="J102" s="6" t="s">
        <v>940</v>
      </c>
      <c r="K102" s="6" t="s">
        <v>941</v>
      </c>
      <c r="L102" s="6" t="s">
        <v>1005</v>
      </c>
      <c r="M102" s="6" t="str">
        <f t="shared" si="11"/>
        <v/>
      </c>
    </row>
    <row r="103" spans="1:13" ht="13.2" x14ac:dyDescent="0.25">
      <c r="A103" s="6" t="s">
        <v>777</v>
      </c>
      <c r="B103" s="6" t="s">
        <v>430</v>
      </c>
      <c r="C103" s="6" t="str">
        <f t="shared" si="9"/>
        <v>H8</v>
      </c>
      <c r="D103" s="6"/>
      <c r="E103" s="6" t="str">
        <f t="shared" si="10"/>
        <v>H8</v>
      </c>
      <c r="F103" s="6" t="s">
        <v>777</v>
      </c>
      <c r="G103" s="6" t="s">
        <v>430</v>
      </c>
      <c r="H103" s="6" t="s">
        <v>935</v>
      </c>
      <c r="I103" s="6" t="s">
        <v>936</v>
      </c>
      <c r="J103" s="6" t="s">
        <v>937</v>
      </c>
      <c r="K103" s="6" t="s">
        <v>938</v>
      </c>
      <c r="L103" s="6" t="s">
        <v>1006</v>
      </c>
      <c r="M103" s="6" t="str">
        <f t="shared" si="11"/>
        <v/>
      </c>
    </row>
    <row r="104" spans="1:13" ht="13.2" x14ac:dyDescent="0.25">
      <c r="A104" s="6" t="s">
        <v>833</v>
      </c>
      <c r="B104" s="6" t="s">
        <v>398</v>
      </c>
      <c r="C104" s="6" t="str">
        <f t="shared" si="9"/>
        <v>H9</v>
      </c>
      <c r="D104" s="6"/>
      <c r="E104" s="6" t="str">
        <f t="shared" si="10"/>
        <v>H9</v>
      </c>
      <c r="F104" s="6" t="s">
        <v>833</v>
      </c>
      <c r="G104" s="6" t="s">
        <v>398</v>
      </c>
      <c r="H104" s="6" t="s">
        <v>935</v>
      </c>
      <c r="I104" s="6" t="s">
        <v>936</v>
      </c>
      <c r="J104" s="6" t="s">
        <v>937</v>
      </c>
      <c r="K104" s="6" t="s">
        <v>938</v>
      </c>
      <c r="L104" s="6" t="s">
        <v>1007</v>
      </c>
      <c r="M104" s="6" t="str">
        <f t="shared" si="11"/>
        <v/>
      </c>
    </row>
    <row r="105" spans="1:13" ht="13.2" x14ac:dyDescent="0.25">
      <c r="A105" s="6" t="s">
        <v>773</v>
      </c>
      <c r="B105" s="6" t="s">
        <v>380</v>
      </c>
      <c r="C105" s="6" t="str">
        <f t="shared" si="9"/>
        <v>H10</v>
      </c>
      <c r="D105" s="6"/>
      <c r="E105" s="6" t="str">
        <f t="shared" si="10"/>
        <v>H10</v>
      </c>
      <c r="F105" s="6" t="s">
        <v>773</v>
      </c>
      <c r="G105" s="6" t="s">
        <v>380</v>
      </c>
      <c r="H105" s="6" t="s">
        <v>935</v>
      </c>
      <c r="I105" s="6" t="s">
        <v>936</v>
      </c>
      <c r="J105" s="6" t="s">
        <v>937</v>
      </c>
      <c r="K105" s="6" t="s">
        <v>938</v>
      </c>
      <c r="L105" s="6" t="s">
        <v>1008</v>
      </c>
      <c r="M105" s="6" t="str">
        <f t="shared" si="11"/>
        <v/>
      </c>
    </row>
    <row r="106" spans="1:13" ht="13.2" x14ac:dyDescent="0.25">
      <c r="A106" s="6" t="s">
        <v>840</v>
      </c>
      <c r="B106" s="6" t="s">
        <v>393</v>
      </c>
      <c r="C106" s="6" t="str">
        <f t="shared" si="9"/>
        <v>H11</v>
      </c>
      <c r="D106" s="6"/>
      <c r="E106" s="6" t="str">
        <f t="shared" si="10"/>
        <v>H11</v>
      </c>
      <c r="F106" s="6" t="s">
        <v>840</v>
      </c>
      <c r="G106" s="6" t="s">
        <v>393</v>
      </c>
      <c r="H106" s="6" t="s">
        <v>935</v>
      </c>
      <c r="I106" s="6" t="s">
        <v>936</v>
      </c>
      <c r="J106" s="6" t="s">
        <v>937</v>
      </c>
      <c r="K106" s="6" t="s">
        <v>938</v>
      </c>
      <c r="L106" s="6" t="s">
        <v>1009</v>
      </c>
      <c r="M106" s="6" t="str">
        <f t="shared" si="11"/>
        <v/>
      </c>
    </row>
    <row r="107" spans="1:13" ht="13.2" x14ac:dyDescent="0.25">
      <c r="A107" s="6" t="s">
        <v>845</v>
      </c>
      <c r="B107" s="6" t="s">
        <v>930</v>
      </c>
      <c r="C107" s="6" t="str">
        <f t="shared" si="9"/>
        <v>H12</v>
      </c>
      <c r="D107" s="6"/>
      <c r="E107" s="6" t="str">
        <f t="shared" si="10"/>
        <v>B3</v>
      </c>
      <c r="F107" s="6" t="s">
        <v>845</v>
      </c>
      <c r="G107" s="6" t="s">
        <v>930</v>
      </c>
      <c r="H107" s="6" t="s">
        <v>965</v>
      </c>
      <c r="I107" s="6" t="s">
        <v>936</v>
      </c>
      <c r="J107" s="6" t="s">
        <v>958</v>
      </c>
      <c r="K107" s="6" t="s">
        <v>959</v>
      </c>
      <c r="L107" s="6" t="s">
        <v>960</v>
      </c>
      <c r="M107" s="6" t="str">
        <f t="shared" si="11"/>
        <v/>
      </c>
    </row>
    <row r="108" spans="1:13" ht="13.2" x14ac:dyDescent="0.25">
      <c r="A108" s="6" t="s">
        <v>893</v>
      </c>
      <c r="B108" s="6" t="s">
        <v>919</v>
      </c>
      <c r="C108" s="6" t="str">
        <f t="shared" si="9"/>
        <v>H13</v>
      </c>
      <c r="D108" s="6"/>
      <c r="E108" s="6" t="str">
        <f t="shared" si="10"/>
        <v>A3</v>
      </c>
      <c r="F108" s="6" t="s">
        <v>893</v>
      </c>
      <c r="G108" s="6" t="s">
        <v>919</v>
      </c>
      <c r="H108" s="6" t="s">
        <v>943</v>
      </c>
      <c r="I108" s="6" t="s">
        <v>936</v>
      </c>
      <c r="J108" s="6" t="s">
        <v>944</v>
      </c>
      <c r="K108" s="6" t="s">
        <v>959</v>
      </c>
      <c r="L108" s="6" t="s">
        <v>946</v>
      </c>
      <c r="M108" s="6" t="str">
        <f t="shared" si="11"/>
        <v/>
      </c>
    </row>
    <row r="109" spans="1:13" ht="13.2" x14ac:dyDescent="0.25">
      <c r="A109" s="6" t="s">
        <v>640</v>
      </c>
      <c r="B109" s="6" t="s">
        <v>286</v>
      </c>
      <c r="C109" s="6" t="str">
        <f t="shared" si="9"/>
        <v>J1</v>
      </c>
      <c r="D109" s="6"/>
      <c r="E109" s="6" t="str">
        <f t="shared" si="10"/>
        <v>J1</v>
      </c>
      <c r="F109" s="6" t="s">
        <v>640</v>
      </c>
      <c r="G109" s="6" t="s">
        <v>286</v>
      </c>
      <c r="H109" s="6" t="s">
        <v>935</v>
      </c>
      <c r="I109" s="6" t="s">
        <v>936</v>
      </c>
      <c r="J109" s="6" t="s">
        <v>937</v>
      </c>
      <c r="K109" s="6" t="s">
        <v>938</v>
      </c>
      <c r="L109" s="6" t="s">
        <v>1010</v>
      </c>
      <c r="M109" s="6" t="str">
        <f t="shared" si="11"/>
        <v/>
      </c>
    </row>
    <row r="110" spans="1:13" ht="13.2" x14ac:dyDescent="0.25">
      <c r="A110" s="6" t="s">
        <v>778</v>
      </c>
      <c r="B110" s="6" t="s">
        <v>291</v>
      </c>
      <c r="C110" s="6" t="str">
        <f t="shared" si="9"/>
        <v>J2</v>
      </c>
      <c r="D110" s="6"/>
      <c r="E110" s="6" t="str">
        <f t="shared" si="10"/>
        <v>J2</v>
      </c>
      <c r="F110" s="6" t="s">
        <v>778</v>
      </c>
      <c r="G110" s="6" t="s">
        <v>291</v>
      </c>
      <c r="H110" s="6" t="s">
        <v>935</v>
      </c>
      <c r="I110" s="6" t="s">
        <v>936</v>
      </c>
      <c r="J110" s="6" t="s">
        <v>937</v>
      </c>
      <c r="K110" s="6" t="s">
        <v>938</v>
      </c>
      <c r="L110" s="6" t="s">
        <v>1011</v>
      </c>
      <c r="M110" s="6" t="str">
        <f t="shared" si="11"/>
        <v/>
      </c>
    </row>
    <row r="111" spans="1:13" ht="13.2" x14ac:dyDescent="0.25">
      <c r="A111" s="6" t="s">
        <v>781</v>
      </c>
      <c r="B111" s="6" t="s">
        <v>313</v>
      </c>
      <c r="C111" s="6" t="str">
        <f t="shared" si="9"/>
        <v>J3</v>
      </c>
      <c r="D111" s="6"/>
      <c r="E111" s="6" t="str">
        <f t="shared" si="10"/>
        <v>J3</v>
      </c>
      <c r="F111" s="6" t="s">
        <v>781</v>
      </c>
      <c r="G111" s="6" t="s">
        <v>313</v>
      </c>
      <c r="H111" s="6" t="s">
        <v>935</v>
      </c>
      <c r="I111" s="6" t="s">
        <v>936</v>
      </c>
      <c r="J111" s="6" t="s">
        <v>937</v>
      </c>
      <c r="K111" s="6" t="s">
        <v>938</v>
      </c>
      <c r="L111" s="6" t="s">
        <v>991</v>
      </c>
      <c r="M111" s="6" t="str">
        <f t="shared" si="11"/>
        <v/>
      </c>
    </row>
    <row r="112" spans="1:13" ht="13.2" x14ac:dyDescent="0.25">
      <c r="A112" s="6" t="s">
        <v>645</v>
      </c>
      <c r="B112" s="6" t="s">
        <v>26</v>
      </c>
      <c r="C112" s="6" t="str">
        <f t="shared" si="9"/>
        <v>J4</v>
      </c>
      <c r="D112" s="6"/>
      <c r="E112" s="6" t="str">
        <f t="shared" si="10"/>
        <v>J4</v>
      </c>
      <c r="F112" s="6" t="s">
        <v>645</v>
      </c>
      <c r="G112" s="6" t="s">
        <v>26</v>
      </c>
      <c r="H112" s="6" t="s">
        <v>935</v>
      </c>
      <c r="I112" s="6" t="s">
        <v>936</v>
      </c>
      <c r="J112" s="6" t="s">
        <v>937</v>
      </c>
      <c r="K112" s="6" t="s">
        <v>938</v>
      </c>
      <c r="L112" s="6" t="s">
        <v>1004</v>
      </c>
      <c r="M112" s="6" t="str">
        <f t="shared" si="11"/>
        <v/>
      </c>
    </row>
    <row r="113" spans="1:13" ht="13.2" x14ac:dyDescent="0.25">
      <c r="A113" s="6" t="s">
        <v>652</v>
      </c>
      <c r="B113" s="6" t="s">
        <v>39</v>
      </c>
      <c r="C113" s="6" t="str">
        <f t="shared" si="9"/>
        <v>J5</v>
      </c>
      <c r="D113" s="6"/>
      <c r="E113" s="6" t="str">
        <f t="shared" si="10"/>
        <v>J5</v>
      </c>
      <c r="F113" s="6" t="s">
        <v>652</v>
      </c>
      <c r="G113" s="6" t="s">
        <v>39</v>
      </c>
      <c r="H113" s="6" t="s">
        <v>935</v>
      </c>
      <c r="I113" s="6" t="s">
        <v>936</v>
      </c>
      <c r="J113" s="6" t="s">
        <v>937</v>
      </c>
      <c r="K113" s="6" t="s">
        <v>938</v>
      </c>
      <c r="L113" s="6" t="s">
        <v>1012</v>
      </c>
      <c r="M113" s="6" t="str">
        <f t="shared" si="11"/>
        <v/>
      </c>
    </row>
    <row r="114" spans="1:13" ht="13.2" x14ac:dyDescent="0.25">
      <c r="A114" s="6" t="s">
        <v>883</v>
      </c>
      <c r="B114" s="6" t="s">
        <v>487</v>
      </c>
      <c r="C114" s="6" t="str">
        <f t="shared" si="9"/>
        <v>J6</v>
      </c>
      <c r="D114" s="6"/>
      <c r="E114" s="6" t="str">
        <f t="shared" si="10"/>
        <v>J6</v>
      </c>
      <c r="F114" s="6" t="s">
        <v>883</v>
      </c>
      <c r="G114" s="6" t="s">
        <v>487</v>
      </c>
      <c r="H114" s="6" t="s">
        <v>935</v>
      </c>
      <c r="I114" s="6" t="s">
        <v>936</v>
      </c>
      <c r="J114" s="6" t="s">
        <v>940</v>
      </c>
      <c r="K114" s="6" t="s">
        <v>941</v>
      </c>
      <c r="L114" s="6" t="s">
        <v>1008</v>
      </c>
      <c r="M114" s="6" t="str">
        <f t="shared" si="11"/>
        <v/>
      </c>
    </row>
    <row r="115" spans="1:13" ht="13.2" x14ac:dyDescent="0.25">
      <c r="A115" s="6" t="s">
        <v>649</v>
      </c>
      <c r="B115" s="6" t="s">
        <v>503</v>
      </c>
      <c r="C115" s="6" t="str">
        <f t="shared" si="9"/>
        <v>J7</v>
      </c>
      <c r="D115" s="6"/>
      <c r="E115" s="6" t="str">
        <f t="shared" si="10"/>
        <v>J7</v>
      </c>
      <c r="F115" s="6" t="s">
        <v>649</v>
      </c>
      <c r="G115" s="6" t="s">
        <v>503</v>
      </c>
      <c r="H115" s="6" t="s">
        <v>935</v>
      </c>
      <c r="I115" s="6" t="s">
        <v>936</v>
      </c>
      <c r="J115" s="6" t="s">
        <v>940</v>
      </c>
      <c r="K115" s="6" t="s">
        <v>941</v>
      </c>
      <c r="L115" s="6" t="s">
        <v>1007</v>
      </c>
      <c r="M115" s="6" t="str">
        <f t="shared" si="11"/>
        <v/>
      </c>
    </row>
    <row r="116" spans="1:13" ht="13.2" x14ac:dyDescent="0.25">
      <c r="A116" s="6" t="s">
        <v>862</v>
      </c>
      <c r="B116" s="6" t="s">
        <v>446</v>
      </c>
      <c r="C116" s="6" t="str">
        <f t="shared" si="9"/>
        <v>J8</v>
      </c>
      <c r="D116" s="6"/>
      <c r="E116" s="6" t="str">
        <f t="shared" si="10"/>
        <v>J8</v>
      </c>
      <c r="F116" s="6" t="s">
        <v>862</v>
      </c>
      <c r="G116" s="6" t="s">
        <v>446</v>
      </c>
      <c r="H116" s="6" t="s">
        <v>935</v>
      </c>
      <c r="I116" s="6" t="s">
        <v>936</v>
      </c>
      <c r="J116" s="6" t="s">
        <v>937</v>
      </c>
      <c r="K116" s="6" t="s">
        <v>938</v>
      </c>
      <c r="L116" s="6" t="s">
        <v>1013</v>
      </c>
      <c r="M116" s="6" t="str">
        <f t="shared" si="11"/>
        <v/>
      </c>
    </row>
    <row r="117" spans="1:13" ht="13.2" x14ac:dyDescent="0.25">
      <c r="A117" s="6" t="s">
        <v>835</v>
      </c>
      <c r="B117" s="6" t="s">
        <v>420</v>
      </c>
      <c r="C117" s="6" t="str">
        <f t="shared" si="9"/>
        <v>J9</v>
      </c>
      <c r="D117" s="6"/>
      <c r="E117" s="6" t="str">
        <f t="shared" si="10"/>
        <v>J9</v>
      </c>
      <c r="F117" s="6" t="s">
        <v>835</v>
      </c>
      <c r="G117" s="6" t="s">
        <v>420</v>
      </c>
      <c r="H117" s="6" t="s">
        <v>935</v>
      </c>
      <c r="I117" s="6" t="s">
        <v>936</v>
      </c>
      <c r="J117" s="6" t="s">
        <v>937</v>
      </c>
      <c r="K117" s="6" t="s">
        <v>938</v>
      </c>
      <c r="L117" s="6" t="s">
        <v>1003</v>
      </c>
      <c r="M117" s="6" t="str">
        <f t="shared" si="11"/>
        <v/>
      </c>
    </row>
    <row r="118" spans="1:13" ht="13.2" x14ac:dyDescent="0.25">
      <c r="A118" s="6" t="s">
        <v>767</v>
      </c>
      <c r="B118" s="6" t="s">
        <v>212</v>
      </c>
      <c r="C118" s="6" t="str">
        <f t="shared" si="9"/>
        <v>J10</v>
      </c>
      <c r="D118" s="6"/>
      <c r="E118" s="6" t="str">
        <f t="shared" si="10"/>
        <v>J10</v>
      </c>
      <c r="F118" s="6" t="s">
        <v>767</v>
      </c>
      <c r="G118" s="6" t="s">
        <v>212</v>
      </c>
      <c r="H118" s="6" t="s">
        <v>935</v>
      </c>
      <c r="I118" s="6" t="s">
        <v>936</v>
      </c>
      <c r="J118" s="6" t="s">
        <v>937</v>
      </c>
      <c r="K118" s="6" t="s">
        <v>938</v>
      </c>
      <c r="L118" s="6" t="s">
        <v>987</v>
      </c>
      <c r="M118" s="6" t="str">
        <f t="shared" si="11"/>
        <v/>
      </c>
    </row>
    <row r="119" spans="1:13" ht="13.2" x14ac:dyDescent="0.25">
      <c r="A119" s="6" t="s">
        <v>830</v>
      </c>
      <c r="B119" s="6" t="s">
        <v>377</v>
      </c>
      <c r="C119" s="6" t="str">
        <f t="shared" si="9"/>
        <v>J11</v>
      </c>
      <c r="D119" s="6"/>
      <c r="E119" s="6" t="str">
        <f t="shared" si="10"/>
        <v>J11</v>
      </c>
      <c r="F119" s="6" t="s">
        <v>830</v>
      </c>
      <c r="G119" s="6" t="s">
        <v>377</v>
      </c>
      <c r="H119" s="6" t="s">
        <v>935</v>
      </c>
      <c r="I119" s="6" t="s">
        <v>936</v>
      </c>
      <c r="J119" s="6" t="s">
        <v>937</v>
      </c>
      <c r="K119" s="6" t="s">
        <v>938</v>
      </c>
      <c r="L119" s="6" t="s">
        <v>999</v>
      </c>
      <c r="M119" s="6" t="str">
        <f t="shared" si="11"/>
        <v/>
      </c>
    </row>
    <row r="120" spans="1:13" ht="13.2" x14ac:dyDescent="0.25">
      <c r="A120" s="6" t="s">
        <v>895</v>
      </c>
      <c r="B120" s="6" t="s">
        <v>547</v>
      </c>
      <c r="C120" s="6" t="str">
        <f t="shared" si="9"/>
        <v>J12</v>
      </c>
      <c r="D120" s="6"/>
      <c r="E120" s="6" t="str">
        <f t="shared" si="10"/>
        <v>J12</v>
      </c>
      <c r="F120" s="6" t="s">
        <v>895</v>
      </c>
      <c r="G120" s="6" t="s">
        <v>547</v>
      </c>
      <c r="H120" s="6" t="s">
        <v>935</v>
      </c>
      <c r="I120" s="6" t="s">
        <v>936</v>
      </c>
      <c r="J120" s="6" t="s">
        <v>940</v>
      </c>
      <c r="K120" s="6" t="s">
        <v>941</v>
      </c>
      <c r="L120" s="6" t="s">
        <v>991</v>
      </c>
      <c r="M120" s="6" t="str">
        <f t="shared" si="11"/>
        <v/>
      </c>
    </row>
    <row r="121" spans="1:13" ht="13.2" x14ac:dyDescent="0.25">
      <c r="A121" s="6" t="s">
        <v>847</v>
      </c>
      <c r="B121" s="6" t="s">
        <v>553</v>
      </c>
      <c r="C121" s="6" t="str">
        <f t="shared" si="9"/>
        <v>J13</v>
      </c>
      <c r="D121" s="6"/>
      <c r="E121" s="6" t="str">
        <f t="shared" si="10"/>
        <v>J13</v>
      </c>
      <c r="F121" s="6" t="s">
        <v>847</v>
      </c>
      <c r="G121" s="6" t="s">
        <v>553</v>
      </c>
      <c r="H121" s="6" t="s">
        <v>935</v>
      </c>
      <c r="I121" s="6" t="s">
        <v>936</v>
      </c>
      <c r="J121" s="6" t="s">
        <v>940</v>
      </c>
      <c r="K121" s="6" t="s">
        <v>941</v>
      </c>
      <c r="L121" s="6" t="s">
        <v>953</v>
      </c>
      <c r="M121" s="6" t="str">
        <f t="shared" si="11"/>
        <v/>
      </c>
    </row>
    <row r="122" spans="1:13" ht="13.2" x14ac:dyDescent="0.25">
      <c r="A122" s="6" t="s">
        <v>784</v>
      </c>
      <c r="B122" s="6" t="s">
        <v>928</v>
      </c>
      <c r="C122" s="6" t="str">
        <f t="shared" si="9"/>
        <v>K1</v>
      </c>
      <c r="D122" s="6"/>
      <c r="E122" s="6" t="str">
        <f t="shared" si="10"/>
        <v>K1</v>
      </c>
      <c r="F122" s="6" t="s">
        <v>784</v>
      </c>
      <c r="G122" s="6" t="s">
        <v>928</v>
      </c>
      <c r="H122" s="6" t="s">
        <v>963</v>
      </c>
      <c r="I122" s="6" t="s">
        <v>936</v>
      </c>
      <c r="J122" s="6" t="s">
        <v>940</v>
      </c>
      <c r="K122" s="6" t="s">
        <v>941</v>
      </c>
      <c r="L122" s="6" t="s">
        <v>1014</v>
      </c>
      <c r="M122" s="6" t="str">
        <f t="shared" si="11"/>
        <v/>
      </c>
    </row>
    <row r="123" spans="1:13" ht="13.2" x14ac:dyDescent="0.25">
      <c r="A123" s="6" t="s">
        <v>787</v>
      </c>
      <c r="B123" s="6" t="s">
        <v>932</v>
      </c>
      <c r="C123" s="6" t="str">
        <f t="shared" si="9"/>
        <v>K2</v>
      </c>
      <c r="D123" s="6"/>
      <c r="E123" s="6" t="str">
        <f t="shared" si="10"/>
        <v>K2</v>
      </c>
      <c r="F123" s="6" t="s">
        <v>787</v>
      </c>
      <c r="G123" s="6" t="s">
        <v>932</v>
      </c>
      <c r="H123" s="6" t="s">
        <v>965</v>
      </c>
      <c r="I123" s="6" t="s">
        <v>936</v>
      </c>
      <c r="J123" s="6" t="s">
        <v>958</v>
      </c>
      <c r="K123" s="6" t="s">
        <v>996</v>
      </c>
      <c r="L123" s="6" t="s">
        <v>960</v>
      </c>
      <c r="M123" s="6" t="str">
        <f t="shared" si="11"/>
        <v/>
      </c>
    </row>
    <row r="124" spans="1:13" ht="13.2" x14ac:dyDescent="0.25">
      <c r="A124" s="6" t="s">
        <v>638</v>
      </c>
      <c r="B124" s="6" t="s">
        <v>575</v>
      </c>
      <c r="C124" s="6" t="str">
        <f t="shared" si="9"/>
        <v>K3</v>
      </c>
      <c r="D124" s="6"/>
      <c r="E124" s="6" t="str">
        <f t="shared" si="10"/>
        <v>K3</v>
      </c>
      <c r="F124" s="6" t="s">
        <v>638</v>
      </c>
      <c r="G124" s="6" t="s">
        <v>575</v>
      </c>
      <c r="H124" s="6" t="s">
        <v>935</v>
      </c>
      <c r="I124" s="6" t="s">
        <v>936</v>
      </c>
      <c r="J124" s="6" t="s">
        <v>940</v>
      </c>
      <c r="K124" s="6" t="s">
        <v>941</v>
      </c>
      <c r="L124" s="6" t="s">
        <v>993</v>
      </c>
      <c r="M124" s="6" t="str">
        <f t="shared" si="11"/>
        <v/>
      </c>
    </row>
    <row r="125" spans="1:13" ht="13.2" x14ac:dyDescent="0.25">
      <c r="A125" s="6" t="s">
        <v>661</v>
      </c>
      <c r="B125" s="6" t="s">
        <v>117</v>
      </c>
      <c r="C125" s="6" t="str">
        <f t="shared" si="9"/>
        <v>K4</v>
      </c>
      <c r="D125" s="6"/>
      <c r="E125" s="6" t="str">
        <f t="shared" si="10"/>
        <v>K4</v>
      </c>
      <c r="F125" s="6" t="s">
        <v>661</v>
      </c>
      <c r="G125" s="6" t="s">
        <v>117</v>
      </c>
      <c r="H125" s="6" t="s">
        <v>935</v>
      </c>
      <c r="I125" s="6" t="s">
        <v>936</v>
      </c>
      <c r="J125" s="6" t="s">
        <v>937</v>
      </c>
      <c r="K125" s="6" t="s">
        <v>938</v>
      </c>
      <c r="L125" s="6" t="s">
        <v>1015</v>
      </c>
      <c r="M125" s="6" t="str">
        <f t="shared" si="11"/>
        <v/>
      </c>
    </row>
    <row r="126" spans="1:13" ht="13.2" x14ac:dyDescent="0.25">
      <c r="A126" s="6" t="s">
        <v>682</v>
      </c>
      <c r="B126" s="6" t="s">
        <v>133</v>
      </c>
      <c r="C126" s="6" t="str">
        <f t="shared" si="9"/>
        <v>K5</v>
      </c>
      <c r="D126" s="6"/>
      <c r="E126" s="6" t="str">
        <f t="shared" si="10"/>
        <v>K5</v>
      </c>
      <c r="F126" s="6" t="s">
        <v>682</v>
      </c>
      <c r="G126" s="6" t="s">
        <v>133</v>
      </c>
      <c r="H126" s="6" t="s">
        <v>935</v>
      </c>
      <c r="I126" s="6" t="s">
        <v>936</v>
      </c>
      <c r="J126" s="6" t="s">
        <v>937</v>
      </c>
      <c r="K126" s="6" t="s">
        <v>938</v>
      </c>
      <c r="L126" s="6" t="s">
        <v>1016</v>
      </c>
      <c r="M126" s="6" t="str">
        <f t="shared" si="11"/>
        <v/>
      </c>
    </row>
    <row r="127" spans="1:13" ht="13.2" x14ac:dyDescent="0.25">
      <c r="A127" s="6" t="s">
        <v>681</v>
      </c>
      <c r="B127" s="6" t="s">
        <v>173</v>
      </c>
      <c r="C127" s="6" t="str">
        <f t="shared" si="9"/>
        <v>K6</v>
      </c>
      <c r="D127" s="6"/>
      <c r="E127" s="6" t="str">
        <f t="shared" si="10"/>
        <v>K6</v>
      </c>
      <c r="F127" s="6" t="s">
        <v>681</v>
      </c>
      <c r="G127" s="6" t="s">
        <v>173</v>
      </c>
      <c r="H127" s="6" t="s">
        <v>935</v>
      </c>
      <c r="I127" s="6" t="s">
        <v>936</v>
      </c>
      <c r="J127" s="6" t="s">
        <v>937</v>
      </c>
      <c r="K127" s="6" t="s">
        <v>938</v>
      </c>
      <c r="L127" s="6" t="s">
        <v>1001</v>
      </c>
      <c r="M127" s="6" t="str">
        <f t="shared" si="11"/>
        <v/>
      </c>
    </row>
    <row r="128" spans="1:13" ht="13.2" x14ac:dyDescent="0.25">
      <c r="A128" s="6" t="s">
        <v>891</v>
      </c>
      <c r="B128" s="6" t="s">
        <v>531</v>
      </c>
      <c r="C128" s="6" t="str">
        <f t="shared" si="9"/>
        <v>K7</v>
      </c>
      <c r="D128" s="6"/>
      <c r="E128" s="6" t="str">
        <f t="shared" si="10"/>
        <v>K7</v>
      </c>
      <c r="F128" s="6" t="s">
        <v>891</v>
      </c>
      <c r="G128" s="6" t="s">
        <v>531</v>
      </c>
      <c r="H128" s="6" t="s">
        <v>935</v>
      </c>
      <c r="I128" s="6" t="s">
        <v>936</v>
      </c>
      <c r="J128" s="6" t="s">
        <v>940</v>
      </c>
      <c r="K128" s="6" t="s">
        <v>941</v>
      </c>
      <c r="L128" s="6" t="s">
        <v>1011</v>
      </c>
      <c r="M128" s="6" t="str">
        <f t="shared" si="11"/>
        <v/>
      </c>
    </row>
    <row r="129" spans="1:13" ht="13.2" x14ac:dyDescent="0.25">
      <c r="A129" s="6" t="s">
        <v>643</v>
      </c>
      <c r="B129" s="6" t="s">
        <v>439</v>
      </c>
      <c r="C129" s="6" t="str">
        <f t="shared" si="9"/>
        <v>K8</v>
      </c>
      <c r="D129" s="6"/>
      <c r="E129" s="6" t="str">
        <f t="shared" si="10"/>
        <v>K8</v>
      </c>
      <c r="F129" s="6" t="s">
        <v>643</v>
      </c>
      <c r="G129" s="6" t="s">
        <v>439</v>
      </c>
      <c r="H129" s="6" t="s">
        <v>935</v>
      </c>
      <c r="I129" s="6" t="s">
        <v>936</v>
      </c>
      <c r="J129" s="6" t="s">
        <v>937</v>
      </c>
      <c r="K129" s="6" t="s">
        <v>938</v>
      </c>
      <c r="L129" s="6" t="s">
        <v>1017</v>
      </c>
      <c r="M129" s="6" t="str">
        <f t="shared" si="11"/>
        <v/>
      </c>
    </row>
    <row r="130" spans="1:13" ht="13.2" x14ac:dyDescent="0.25">
      <c r="A130" s="6" t="s">
        <v>748</v>
      </c>
      <c r="B130" s="6" t="s">
        <v>180</v>
      </c>
      <c r="C130" s="6" t="str">
        <f t="shared" si="9"/>
        <v>K9</v>
      </c>
      <c r="D130" s="6"/>
      <c r="E130" s="6" t="str">
        <f t="shared" si="10"/>
        <v>K9</v>
      </c>
      <c r="F130" s="6" t="s">
        <v>748</v>
      </c>
      <c r="G130" s="6" t="s">
        <v>180</v>
      </c>
      <c r="H130" s="6" t="s">
        <v>935</v>
      </c>
      <c r="I130" s="6" t="s">
        <v>936</v>
      </c>
      <c r="J130" s="6" t="s">
        <v>937</v>
      </c>
      <c r="K130" s="6" t="s">
        <v>938</v>
      </c>
      <c r="L130" s="6" t="s">
        <v>1018</v>
      </c>
      <c r="M130" s="6" t="str">
        <f t="shared" si="11"/>
        <v/>
      </c>
    </row>
    <row r="131" spans="1:13" ht="13.2" x14ac:dyDescent="0.25">
      <c r="A131" s="6" t="s">
        <v>903</v>
      </c>
      <c r="B131" s="6" t="s">
        <v>582</v>
      </c>
      <c r="C131" s="6" t="str">
        <f t="shared" si="9"/>
        <v>K10</v>
      </c>
      <c r="D131" s="6"/>
      <c r="E131" s="6" t="str">
        <f t="shared" si="10"/>
        <v>K10</v>
      </c>
      <c r="F131" s="6" t="s">
        <v>903</v>
      </c>
      <c r="G131" s="6" t="s">
        <v>582</v>
      </c>
      <c r="H131" s="6" t="s">
        <v>935</v>
      </c>
      <c r="I131" s="6" t="s">
        <v>936</v>
      </c>
      <c r="J131" s="6" t="s">
        <v>940</v>
      </c>
      <c r="K131" s="6" t="s">
        <v>941</v>
      </c>
      <c r="L131" s="6" t="s">
        <v>982</v>
      </c>
      <c r="M131" s="6" t="str">
        <f t="shared" si="11"/>
        <v/>
      </c>
    </row>
    <row r="132" spans="1:13" ht="13.2" x14ac:dyDescent="0.25">
      <c r="A132" s="6" t="s">
        <v>755</v>
      </c>
      <c r="B132" s="6" t="s">
        <v>194</v>
      </c>
      <c r="C132" s="6" t="str">
        <f t="shared" si="9"/>
        <v>K11</v>
      </c>
      <c r="D132" s="6"/>
      <c r="E132" s="6" t="str">
        <f t="shared" si="10"/>
        <v>K11</v>
      </c>
      <c r="F132" s="6" t="s">
        <v>755</v>
      </c>
      <c r="G132" s="6" t="s">
        <v>194</v>
      </c>
      <c r="H132" s="6" t="s">
        <v>935</v>
      </c>
      <c r="I132" s="6" t="s">
        <v>936</v>
      </c>
      <c r="J132" s="6" t="s">
        <v>937</v>
      </c>
      <c r="K132" s="6" t="s">
        <v>938</v>
      </c>
      <c r="L132" s="6" t="s">
        <v>1019</v>
      </c>
      <c r="M132" s="6" t="str">
        <f t="shared" si="11"/>
        <v/>
      </c>
    </row>
    <row r="133" spans="1:13" ht="13.2" x14ac:dyDescent="0.25">
      <c r="A133" s="6" t="s">
        <v>761</v>
      </c>
      <c r="B133" s="6" t="s">
        <v>382</v>
      </c>
      <c r="C133" s="6" t="str">
        <f t="shared" ref="C133:C164" si="12">A133</f>
        <v>K12</v>
      </c>
      <c r="D133" s="6"/>
      <c r="E133" s="6" t="str">
        <f t="shared" ref="E133:E164" si="13">IFERROR(VLOOKUP($G133,$B$5:$C$173,2,FALSE()),"")</f>
        <v>K12</v>
      </c>
      <c r="F133" s="6" t="s">
        <v>761</v>
      </c>
      <c r="G133" s="6" t="s">
        <v>382</v>
      </c>
      <c r="H133" s="6" t="s">
        <v>935</v>
      </c>
      <c r="I133" s="6" t="s">
        <v>936</v>
      </c>
      <c r="J133" s="6" t="s">
        <v>937</v>
      </c>
      <c r="K133" s="6" t="s">
        <v>938</v>
      </c>
      <c r="L133" s="6" t="s">
        <v>1020</v>
      </c>
      <c r="M133" s="6" t="str">
        <f t="shared" ref="M133:M164" si="14">IF(G133=B133, "")</f>
        <v/>
      </c>
    </row>
    <row r="134" spans="1:13" ht="13.2" x14ac:dyDescent="0.25">
      <c r="A134" s="6" t="s">
        <v>837</v>
      </c>
      <c r="B134" s="6" t="s">
        <v>387</v>
      </c>
      <c r="C134" s="6" t="str">
        <f t="shared" si="12"/>
        <v>K13</v>
      </c>
      <c r="D134" s="6"/>
      <c r="E134" s="6" t="str">
        <f t="shared" si="13"/>
        <v>K13</v>
      </c>
      <c r="F134" s="6" t="s">
        <v>837</v>
      </c>
      <c r="G134" s="6" t="s">
        <v>387</v>
      </c>
      <c r="H134" s="6" t="s">
        <v>935</v>
      </c>
      <c r="I134" s="6" t="s">
        <v>936</v>
      </c>
      <c r="J134" s="6" t="s">
        <v>937</v>
      </c>
      <c r="K134" s="6" t="s">
        <v>938</v>
      </c>
      <c r="L134" s="6" t="s">
        <v>1005</v>
      </c>
      <c r="M134" s="6" t="str">
        <f t="shared" si="14"/>
        <v/>
      </c>
    </row>
    <row r="135" spans="1:13" ht="13.2" x14ac:dyDescent="0.25">
      <c r="A135" s="6" t="s">
        <v>772</v>
      </c>
      <c r="B135" s="6" t="s">
        <v>922</v>
      </c>
      <c r="C135" s="6" t="str">
        <f t="shared" si="12"/>
        <v>L1</v>
      </c>
      <c r="D135" s="6"/>
      <c r="E135" s="6" t="str">
        <f t="shared" si="13"/>
        <v>L1</v>
      </c>
      <c r="F135" s="6" t="s">
        <v>772</v>
      </c>
      <c r="G135" s="6" t="s">
        <v>922</v>
      </c>
      <c r="H135" s="6" t="s">
        <v>943</v>
      </c>
      <c r="I135" s="6" t="s">
        <v>936</v>
      </c>
      <c r="J135" s="6" t="s">
        <v>944</v>
      </c>
      <c r="K135" s="6" t="s">
        <v>956</v>
      </c>
      <c r="L135" s="6" t="s">
        <v>946</v>
      </c>
      <c r="M135" s="6" t="str">
        <f t="shared" si="14"/>
        <v/>
      </c>
    </row>
    <row r="136" spans="1:13" ht="13.2" x14ac:dyDescent="0.25">
      <c r="A136" s="6" t="s">
        <v>782</v>
      </c>
      <c r="B136" s="6" t="s">
        <v>929</v>
      </c>
      <c r="C136" s="6" t="str">
        <f t="shared" si="12"/>
        <v>L2</v>
      </c>
      <c r="D136" s="6"/>
      <c r="E136" s="6" t="str">
        <f t="shared" si="13"/>
        <v>L2</v>
      </c>
      <c r="F136" s="6" t="s">
        <v>782</v>
      </c>
      <c r="G136" s="6" t="s">
        <v>929</v>
      </c>
      <c r="H136" s="6" t="s">
        <v>963</v>
      </c>
      <c r="I136" s="6" t="s">
        <v>936</v>
      </c>
      <c r="J136" s="6" t="s">
        <v>940</v>
      </c>
      <c r="K136" s="6" t="s">
        <v>941</v>
      </c>
      <c r="L136" s="6" t="s">
        <v>1015</v>
      </c>
      <c r="M136" s="6" t="str">
        <f t="shared" si="14"/>
        <v/>
      </c>
    </row>
    <row r="137" spans="1:13" ht="13.2" x14ac:dyDescent="0.25">
      <c r="A137" s="6" t="s">
        <v>651</v>
      </c>
      <c r="B137" s="6" t="s">
        <v>93</v>
      </c>
      <c r="C137" s="6" t="str">
        <f t="shared" si="12"/>
        <v>L3</v>
      </c>
      <c r="D137" s="6"/>
      <c r="E137" s="6" t="str">
        <f t="shared" si="13"/>
        <v>L3</v>
      </c>
      <c r="F137" s="6" t="s">
        <v>651</v>
      </c>
      <c r="G137" s="6" t="s">
        <v>93</v>
      </c>
      <c r="H137" s="6" t="s">
        <v>935</v>
      </c>
      <c r="I137" s="6" t="s">
        <v>936</v>
      </c>
      <c r="J137" s="6" t="s">
        <v>937</v>
      </c>
      <c r="K137" s="6" t="s">
        <v>938</v>
      </c>
      <c r="L137" s="6" t="s">
        <v>964</v>
      </c>
      <c r="M137" s="6" t="str">
        <f t="shared" si="14"/>
        <v/>
      </c>
    </row>
    <row r="138" spans="1:13" ht="13.2" x14ac:dyDescent="0.25">
      <c r="A138" s="6" t="s">
        <v>669</v>
      </c>
      <c r="B138" s="6" t="s">
        <v>111</v>
      </c>
      <c r="C138" s="6" t="str">
        <f t="shared" si="12"/>
        <v>L4</v>
      </c>
      <c r="D138" s="6"/>
      <c r="E138" s="6" t="str">
        <f t="shared" si="13"/>
        <v>L4</v>
      </c>
      <c r="F138" s="6" t="s">
        <v>669</v>
      </c>
      <c r="G138" s="6" t="s">
        <v>111</v>
      </c>
      <c r="H138" s="6" t="s">
        <v>935</v>
      </c>
      <c r="I138" s="6" t="s">
        <v>936</v>
      </c>
      <c r="J138" s="6" t="s">
        <v>937</v>
      </c>
      <c r="K138" s="6" t="s">
        <v>938</v>
      </c>
      <c r="L138" s="6" t="s">
        <v>1021</v>
      </c>
      <c r="M138" s="6" t="str">
        <f t="shared" si="14"/>
        <v/>
      </c>
    </row>
    <row r="139" spans="1:13" ht="13.2" x14ac:dyDescent="0.25">
      <c r="A139" s="6" t="s">
        <v>722</v>
      </c>
      <c r="B139" s="6" t="s">
        <v>164</v>
      </c>
      <c r="C139" s="6" t="str">
        <f t="shared" si="12"/>
        <v>L5</v>
      </c>
      <c r="D139" s="6"/>
      <c r="E139" s="6" t="str">
        <f t="shared" si="13"/>
        <v>L5</v>
      </c>
      <c r="F139" s="6" t="s">
        <v>722</v>
      </c>
      <c r="G139" s="6" t="s">
        <v>164</v>
      </c>
      <c r="H139" s="6" t="s">
        <v>935</v>
      </c>
      <c r="I139" s="6" t="s">
        <v>936</v>
      </c>
      <c r="J139" s="6" t="s">
        <v>937</v>
      </c>
      <c r="K139" s="6" t="s">
        <v>938</v>
      </c>
      <c r="L139" s="6" t="s">
        <v>1022</v>
      </c>
      <c r="M139" s="6" t="str">
        <f t="shared" si="14"/>
        <v/>
      </c>
    </row>
    <row r="140" spans="1:13" ht="13.2" x14ac:dyDescent="0.25">
      <c r="A140" s="6" t="s">
        <v>727</v>
      </c>
      <c r="B140" s="6" t="s">
        <v>221</v>
      </c>
      <c r="C140" s="6" t="str">
        <f t="shared" si="12"/>
        <v>L6</v>
      </c>
      <c r="D140" s="6"/>
      <c r="E140" s="6" t="str">
        <f t="shared" si="13"/>
        <v>L6</v>
      </c>
      <c r="F140" s="6" t="s">
        <v>727</v>
      </c>
      <c r="G140" s="6" t="s">
        <v>221</v>
      </c>
      <c r="H140" s="6" t="s">
        <v>935</v>
      </c>
      <c r="I140" s="6" t="s">
        <v>936</v>
      </c>
      <c r="J140" s="6" t="s">
        <v>937</v>
      </c>
      <c r="K140" s="6" t="s">
        <v>938</v>
      </c>
      <c r="L140" s="6" t="s">
        <v>1002</v>
      </c>
      <c r="M140" s="6" t="str">
        <f t="shared" si="14"/>
        <v/>
      </c>
    </row>
    <row r="141" spans="1:13" ht="13.2" x14ac:dyDescent="0.25">
      <c r="A141" s="6" t="s">
        <v>673</v>
      </c>
      <c r="B141" s="6" t="s">
        <v>529</v>
      </c>
      <c r="C141" s="6" t="str">
        <f t="shared" si="12"/>
        <v>L7</v>
      </c>
      <c r="D141" s="6"/>
      <c r="E141" s="6" t="str">
        <f t="shared" si="13"/>
        <v>L7</v>
      </c>
      <c r="F141" s="6" t="s">
        <v>673</v>
      </c>
      <c r="G141" s="6" t="s">
        <v>529</v>
      </c>
      <c r="H141" s="6" t="s">
        <v>935</v>
      </c>
      <c r="I141" s="6" t="s">
        <v>936</v>
      </c>
      <c r="J141" s="6" t="s">
        <v>940</v>
      </c>
      <c r="K141" s="6" t="s">
        <v>941</v>
      </c>
      <c r="L141" s="6" t="s">
        <v>1010</v>
      </c>
      <c r="M141" s="6" t="str">
        <f t="shared" si="14"/>
        <v/>
      </c>
    </row>
    <row r="142" spans="1:13" ht="13.2" x14ac:dyDescent="0.25">
      <c r="A142" s="6" t="s">
        <v>866</v>
      </c>
      <c r="B142" s="6" t="s">
        <v>475</v>
      </c>
      <c r="C142" s="6" t="str">
        <f t="shared" si="12"/>
        <v>L8</v>
      </c>
      <c r="D142" s="6"/>
      <c r="E142" s="6" t="str">
        <f t="shared" si="13"/>
        <v>L8</v>
      </c>
      <c r="F142" s="6" t="s">
        <v>866</v>
      </c>
      <c r="G142" s="6" t="s">
        <v>475</v>
      </c>
      <c r="H142" s="6" t="s">
        <v>935</v>
      </c>
      <c r="I142" s="6" t="s">
        <v>936</v>
      </c>
      <c r="J142" s="6" t="s">
        <v>937</v>
      </c>
      <c r="K142" s="6" t="s">
        <v>938</v>
      </c>
      <c r="L142" s="6" t="s">
        <v>1023</v>
      </c>
      <c r="M142" s="6" t="str">
        <f t="shared" si="14"/>
        <v/>
      </c>
    </row>
    <row r="143" spans="1:13" ht="13.2" x14ac:dyDescent="0.25">
      <c r="A143" s="6" t="s">
        <v>786</v>
      </c>
      <c r="B143" s="6" t="s">
        <v>442</v>
      </c>
      <c r="C143" s="6" t="str">
        <f t="shared" si="12"/>
        <v>L9</v>
      </c>
      <c r="D143" s="6"/>
      <c r="E143" s="6" t="str">
        <f t="shared" si="13"/>
        <v>L9</v>
      </c>
      <c r="F143" s="6" t="s">
        <v>786</v>
      </c>
      <c r="G143" s="6" t="s">
        <v>442</v>
      </c>
      <c r="H143" s="6" t="s">
        <v>935</v>
      </c>
      <c r="I143" s="6" t="s">
        <v>936</v>
      </c>
      <c r="J143" s="6" t="s">
        <v>937</v>
      </c>
      <c r="K143" s="6" t="s">
        <v>938</v>
      </c>
      <c r="L143" s="6" t="s">
        <v>1024</v>
      </c>
      <c r="M143" s="6" t="str">
        <f t="shared" si="14"/>
        <v/>
      </c>
    </row>
    <row r="144" spans="1:13" ht="13.2" x14ac:dyDescent="0.25">
      <c r="A144" s="6" t="s">
        <v>751</v>
      </c>
      <c r="B144" s="6" t="s">
        <v>584</v>
      </c>
      <c r="C144" s="6" t="str">
        <f t="shared" si="12"/>
        <v>L10</v>
      </c>
      <c r="D144" s="6"/>
      <c r="E144" s="6" t="str">
        <f t="shared" si="13"/>
        <v>L10</v>
      </c>
      <c r="F144" s="6" t="s">
        <v>751</v>
      </c>
      <c r="G144" s="6" t="s">
        <v>584</v>
      </c>
      <c r="H144" s="6" t="s">
        <v>935</v>
      </c>
      <c r="I144" s="6" t="s">
        <v>936</v>
      </c>
      <c r="J144" s="6" t="s">
        <v>940</v>
      </c>
      <c r="K144" s="6" t="s">
        <v>941</v>
      </c>
      <c r="L144" s="6" t="s">
        <v>992</v>
      </c>
      <c r="M144" s="6" t="str">
        <f t="shared" si="14"/>
        <v/>
      </c>
    </row>
    <row r="145" spans="1:13" ht="13.2" x14ac:dyDescent="0.25">
      <c r="A145" s="6" t="s">
        <v>763</v>
      </c>
      <c r="B145" s="6" t="s">
        <v>201</v>
      </c>
      <c r="C145" s="6" t="str">
        <f t="shared" si="12"/>
        <v>L11</v>
      </c>
      <c r="D145" s="6"/>
      <c r="E145" s="6" t="str">
        <f t="shared" si="13"/>
        <v>L11</v>
      </c>
      <c r="F145" s="6" t="s">
        <v>763</v>
      </c>
      <c r="G145" s="6" t="s">
        <v>201</v>
      </c>
      <c r="H145" s="6" t="s">
        <v>935</v>
      </c>
      <c r="I145" s="6" t="s">
        <v>936</v>
      </c>
      <c r="J145" s="6" t="s">
        <v>937</v>
      </c>
      <c r="K145" s="6" t="s">
        <v>938</v>
      </c>
      <c r="L145" s="6" t="s">
        <v>988</v>
      </c>
      <c r="M145" s="6" t="str">
        <f t="shared" si="14"/>
        <v/>
      </c>
    </row>
    <row r="146" spans="1:13" ht="13.2" x14ac:dyDescent="0.25">
      <c r="A146" s="6" t="s">
        <v>756</v>
      </c>
      <c r="B146" s="6" t="s">
        <v>418</v>
      </c>
      <c r="C146" s="6" t="str">
        <f t="shared" si="12"/>
        <v>L12</v>
      </c>
      <c r="D146" s="6"/>
      <c r="E146" s="6" t="str">
        <f t="shared" si="13"/>
        <v>L12</v>
      </c>
      <c r="F146" s="6" t="s">
        <v>756</v>
      </c>
      <c r="G146" s="6" t="s">
        <v>418</v>
      </c>
      <c r="H146" s="6" t="s">
        <v>935</v>
      </c>
      <c r="I146" s="6" t="s">
        <v>936</v>
      </c>
      <c r="J146" s="6" t="s">
        <v>937</v>
      </c>
      <c r="K146" s="6" t="s">
        <v>938</v>
      </c>
      <c r="L146" s="6" t="s">
        <v>998</v>
      </c>
      <c r="M146" s="6" t="str">
        <f t="shared" si="14"/>
        <v/>
      </c>
    </row>
    <row r="147" spans="1:13" ht="13.2" x14ac:dyDescent="0.25">
      <c r="A147" s="6" t="s">
        <v>834</v>
      </c>
      <c r="B147" s="6" t="s">
        <v>919</v>
      </c>
      <c r="C147" s="6" t="str">
        <f t="shared" si="12"/>
        <v>L13</v>
      </c>
      <c r="D147" s="6"/>
      <c r="E147" s="6" t="str">
        <f t="shared" si="13"/>
        <v>A3</v>
      </c>
      <c r="F147" s="6" t="s">
        <v>834</v>
      </c>
      <c r="G147" s="6" t="s">
        <v>919</v>
      </c>
      <c r="H147" s="6" t="s">
        <v>943</v>
      </c>
      <c r="I147" s="6" t="s">
        <v>936</v>
      </c>
      <c r="J147" s="6" t="s">
        <v>944</v>
      </c>
      <c r="K147" s="6" t="s">
        <v>996</v>
      </c>
      <c r="L147" s="6" t="s">
        <v>946</v>
      </c>
      <c r="M147" s="6" t="str">
        <f t="shared" si="14"/>
        <v/>
      </c>
    </row>
    <row r="148" spans="1:13" ht="13.2" x14ac:dyDescent="0.25">
      <c r="A148" s="6" t="s">
        <v>920</v>
      </c>
      <c r="B148" s="6" t="s">
        <v>919</v>
      </c>
      <c r="C148" s="6" t="str">
        <f t="shared" si="12"/>
        <v>M1</v>
      </c>
      <c r="D148" s="6"/>
      <c r="E148" s="6" t="str">
        <f t="shared" si="13"/>
        <v>A3</v>
      </c>
      <c r="F148" s="6" t="s">
        <v>920</v>
      </c>
      <c r="G148" s="6" t="s">
        <v>919</v>
      </c>
      <c r="H148" s="6" t="s">
        <v>943</v>
      </c>
      <c r="I148" s="6" t="s">
        <v>936</v>
      </c>
      <c r="J148" s="6" t="s">
        <v>944</v>
      </c>
      <c r="K148" s="6" t="s">
        <v>951</v>
      </c>
      <c r="L148" s="6" t="s">
        <v>946</v>
      </c>
      <c r="M148" s="6" t="str">
        <f t="shared" si="14"/>
        <v/>
      </c>
    </row>
    <row r="149" spans="1:13" ht="13.2" x14ac:dyDescent="0.25">
      <c r="A149" s="6" t="s">
        <v>760</v>
      </c>
      <c r="B149" s="6" t="s">
        <v>930</v>
      </c>
      <c r="C149" s="6" t="str">
        <f t="shared" si="12"/>
        <v>M2</v>
      </c>
      <c r="D149" s="6"/>
      <c r="E149" s="6" t="str">
        <f t="shared" si="13"/>
        <v>B3</v>
      </c>
      <c r="F149" s="6" t="s">
        <v>760</v>
      </c>
      <c r="G149" s="6" t="s">
        <v>930</v>
      </c>
      <c r="H149" s="6" t="s">
        <v>965</v>
      </c>
      <c r="I149" s="6" t="s">
        <v>936</v>
      </c>
      <c r="J149" s="6" t="s">
        <v>958</v>
      </c>
      <c r="K149" s="6" t="s">
        <v>959</v>
      </c>
      <c r="L149" s="6" t="s">
        <v>960</v>
      </c>
      <c r="M149" s="6" t="str">
        <f t="shared" si="14"/>
        <v/>
      </c>
    </row>
    <row r="150" spans="1:13" ht="13.2" x14ac:dyDescent="0.25">
      <c r="A150" s="6" t="s">
        <v>657</v>
      </c>
      <c r="B150" s="6" t="s">
        <v>580</v>
      </c>
      <c r="C150" s="6" t="str">
        <f t="shared" si="12"/>
        <v>M3</v>
      </c>
      <c r="D150" s="6"/>
      <c r="E150" s="6" t="str">
        <f t="shared" si="13"/>
        <v>M3</v>
      </c>
      <c r="F150" s="6" t="s">
        <v>657</v>
      </c>
      <c r="G150" s="6" t="s">
        <v>580</v>
      </c>
      <c r="H150" s="6" t="s">
        <v>935</v>
      </c>
      <c r="I150" s="6" t="s">
        <v>936</v>
      </c>
      <c r="J150" s="6" t="s">
        <v>940</v>
      </c>
      <c r="K150" s="6" t="s">
        <v>941</v>
      </c>
      <c r="L150" s="6" t="s">
        <v>948</v>
      </c>
      <c r="M150" s="6" t="str">
        <f t="shared" si="14"/>
        <v/>
      </c>
    </row>
    <row r="151" spans="1:13" ht="13.2" x14ac:dyDescent="0.25">
      <c r="A151" s="6" t="s">
        <v>667</v>
      </c>
      <c r="B151" s="6" t="s">
        <v>930</v>
      </c>
      <c r="C151" s="6" t="str">
        <f t="shared" si="12"/>
        <v>M4</v>
      </c>
      <c r="D151" s="6"/>
      <c r="E151" s="6" t="str">
        <f t="shared" si="13"/>
        <v>B3</v>
      </c>
      <c r="F151" s="6" t="s">
        <v>667</v>
      </c>
      <c r="G151" s="6" t="s">
        <v>930</v>
      </c>
      <c r="H151" s="6" t="s">
        <v>965</v>
      </c>
      <c r="I151" s="6" t="s">
        <v>936</v>
      </c>
      <c r="J151" s="6" t="s">
        <v>958</v>
      </c>
      <c r="K151" s="6" t="s">
        <v>959</v>
      </c>
      <c r="L151" s="6" t="s">
        <v>960</v>
      </c>
      <c r="M151" s="6" t="str">
        <f t="shared" si="14"/>
        <v/>
      </c>
    </row>
    <row r="152" spans="1:13" ht="13.2" x14ac:dyDescent="0.25">
      <c r="A152" s="6" t="s">
        <v>668</v>
      </c>
      <c r="B152" s="6" t="s">
        <v>124</v>
      </c>
      <c r="C152" s="6" t="str">
        <f t="shared" si="12"/>
        <v>M5</v>
      </c>
      <c r="D152" s="6"/>
      <c r="E152" s="6" t="str">
        <f t="shared" si="13"/>
        <v>M5</v>
      </c>
      <c r="F152" s="6" t="s">
        <v>668</v>
      </c>
      <c r="G152" s="6" t="s">
        <v>124</v>
      </c>
      <c r="H152" s="6" t="s">
        <v>935</v>
      </c>
      <c r="I152" s="6" t="s">
        <v>936</v>
      </c>
      <c r="J152" s="6" t="s">
        <v>937</v>
      </c>
      <c r="K152" s="6" t="s">
        <v>938</v>
      </c>
      <c r="L152" s="6" t="s">
        <v>1014</v>
      </c>
      <c r="M152" s="6" t="str">
        <f t="shared" si="14"/>
        <v/>
      </c>
    </row>
    <row r="153" spans="1:13" ht="13.2" x14ac:dyDescent="0.25">
      <c r="A153" s="6" t="s">
        <v>728</v>
      </c>
      <c r="B153" s="6" t="s">
        <v>500</v>
      </c>
      <c r="C153" s="6" t="str">
        <f t="shared" si="12"/>
        <v>M6</v>
      </c>
      <c r="D153" s="6"/>
      <c r="E153" s="6" t="str">
        <f t="shared" si="13"/>
        <v>M6</v>
      </c>
      <c r="F153" s="6" t="s">
        <v>728</v>
      </c>
      <c r="G153" s="6" t="s">
        <v>500</v>
      </c>
      <c r="H153" s="6" t="s">
        <v>935</v>
      </c>
      <c r="I153" s="6" t="s">
        <v>936</v>
      </c>
      <c r="J153" s="6" t="s">
        <v>940</v>
      </c>
      <c r="K153" s="6" t="s">
        <v>941</v>
      </c>
      <c r="L153" s="6" t="s">
        <v>1009</v>
      </c>
      <c r="M153" s="6" t="str">
        <f t="shared" si="14"/>
        <v/>
      </c>
    </row>
    <row r="154" spans="1:13" ht="13.2" x14ac:dyDescent="0.25">
      <c r="A154" s="6" t="s">
        <v>892</v>
      </c>
      <c r="B154" s="6" t="s">
        <v>930</v>
      </c>
      <c r="C154" s="6" t="str">
        <f t="shared" si="12"/>
        <v>M7</v>
      </c>
      <c r="D154" s="6"/>
      <c r="E154" s="6" t="str">
        <f t="shared" si="13"/>
        <v>B3</v>
      </c>
      <c r="F154" s="6" t="s">
        <v>892</v>
      </c>
      <c r="G154" s="6" t="s">
        <v>930</v>
      </c>
      <c r="H154" s="6" t="s">
        <v>965</v>
      </c>
      <c r="I154" s="6" t="s">
        <v>936</v>
      </c>
      <c r="J154" s="6" t="s">
        <v>958</v>
      </c>
      <c r="K154" s="6" t="s">
        <v>959</v>
      </c>
      <c r="L154" s="6" t="s">
        <v>960</v>
      </c>
      <c r="M154" s="6" t="str">
        <f t="shared" si="14"/>
        <v/>
      </c>
    </row>
    <row r="155" spans="1:13" ht="13.2" x14ac:dyDescent="0.25">
      <c r="A155" s="6" t="s">
        <v>656</v>
      </c>
      <c r="B155" s="6" t="s">
        <v>435</v>
      </c>
      <c r="C155" s="6" t="str">
        <f t="shared" si="12"/>
        <v>M8</v>
      </c>
      <c r="D155" s="6"/>
      <c r="E155" s="6" t="str">
        <f t="shared" si="13"/>
        <v>M8</v>
      </c>
      <c r="F155" s="6" t="s">
        <v>656</v>
      </c>
      <c r="G155" s="6" t="s">
        <v>435</v>
      </c>
      <c r="H155" s="6" t="s">
        <v>935</v>
      </c>
      <c r="I155" s="6" t="s">
        <v>936</v>
      </c>
      <c r="J155" s="6" t="s">
        <v>937</v>
      </c>
      <c r="K155" s="6" t="s">
        <v>938</v>
      </c>
      <c r="L155" s="6" t="s">
        <v>1025</v>
      </c>
      <c r="M155" s="6" t="str">
        <f t="shared" si="14"/>
        <v/>
      </c>
    </row>
    <row r="156" spans="1:13" ht="13.2" x14ac:dyDescent="0.25">
      <c r="A156" s="6" t="s">
        <v>753</v>
      </c>
      <c r="B156" s="6" t="s">
        <v>187</v>
      </c>
      <c r="C156" s="6" t="str">
        <f t="shared" si="12"/>
        <v>M9</v>
      </c>
      <c r="D156" s="6"/>
      <c r="E156" s="6" t="str">
        <f t="shared" si="13"/>
        <v>M9</v>
      </c>
      <c r="F156" s="6" t="s">
        <v>753</v>
      </c>
      <c r="G156" s="6" t="s">
        <v>187</v>
      </c>
      <c r="H156" s="6" t="s">
        <v>935</v>
      </c>
      <c r="I156" s="6" t="s">
        <v>936</v>
      </c>
      <c r="J156" s="6" t="s">
        <v>937</v>
      </c>
      <c r="K156" s="6" t="s">
        <v>938</v>
      </c>
      <c r="L156" s="6" t="s">
        <v>941</v>
      </c>
      <c r="M156" s="6" t="str">
        <f t="shared" si="14"/>
        <v/>
      </c>
    </row>
    <row r="157" spans="1:13" ht="13.2" x14ac:dyDescent="0.25">
      <c r="A157" s="6" t="s">
        <v>749</v>
      </c>
      <c r="B157" s="6" t="s">
        <v>586</v>
      </c>
      <c r="C157" s="6" t="str">
        <f t="shared" si="12"/>
        <v>M10</v>
      </c>
      <c r="D157" s="6"/>
      <c r="E157" s="6" t="str">
        <f t="shared" si="13"/>
        <v>M10</v>
      </c>
      <c r="F157" s="6" t="s">
        <v>749</v>
      </c>
      <c r="G157" s="6" t="s">
        <v>586</v>
      </c>
      <c r="H157" s="6" t="s">
        <v>935</v>
      </c>
      <c r="I157" s="6" t="s">
        <v>936</v>
      </c>
      <c r="J157" s="6" t="s">
        <v>940</v>
      </c>
      <c r="K157" s="6" t="s">
        <v>941</v>
      </c>
      <c r="L157" s="6" t="s">
        <v>947</v>
      </c>
      <c r="M157" s="6" t="str">
        <f t="shared" si="14"/>
        <v/>
      </c>
    </row>
    <row r="158" spans="1:13" ht="13.2" x14ac:dyDescent="0.25">
      <c r="A158" s="6" t="s">
        <v>907</v>
      </c>
      <c r="B158" s="6" t="s">
        <v>566</v>
      </c>
      <c r="C158" s="6" t="str">
        <f t="shared" si="12"/>
        <v>M11</v>
      </c>
      <c r="D158" s="6"/>
      <c r="E158" s="6" t="str">
        <f t="shared" si="13"/>
        <v>M11</v>
      </c>
      <c r="F158" s="6" t="s">
        <v>907</v>
      </c>
      <c r="G158" s="6" t="s">
        <v>566</v>
      </c>
      <c r="H158" s="6" t="s">
        <v>935</v>
      </c>
      <c r="I158" s="6" t="s">
        <v>936</v>
      </c>
      <c r="J158" s="6" t="s">
        <v>940</v>
      </c>
      <c r="K158" s="6" t="s">
        <v>941</v>
      </c>
      <c r="L158" s="6" t="s">
        <v>1018</v>
      </c>
      <c r="M158" s="6" t="str">
        <f t="shared" si="14"/>
        <v/>
      </c>
    </row>
    <row r="159" spans="1:13" ht="13.2" x14ac:dyDescent="0.25">
      <c r="A159" s="6" t="s">
        <v>908</v>
      </c>
      <c r="B159" s="6" t="s">
        <v>930</v>
      </c>
      <c r="C159" s="6" t="str">
        <f t="shared" si="12"/>
        <v>M12</v>
      </c>
      <c r="D159" s="6"/>
      <c r="E159" s="6" t="str">
        <f t="shared" si="13"/>
        <v>B3</v>
      </c>
      <c r="F159" s="6" t="s">
        <v>908</v>
      </c>
      <c r="G159" s="6" t="s">
        <v>930</v>
      </c>
      <c r="H159" s="6" t="s">
        <v>965</v>
      </c>
      <c r="I159" s="6" t="s">
        <v>936</v>
      </c>
      <c r="J159" s="6" t="s">
        <v>958</v>
      </c>
      <c r="K159" s="6" t="s">
        <v>959</v>
      </c>
      <c r="L159" s="6" t="s">
        <v>960</v>
      </c>
      <c r="M159" s="6" t="str">
        <f t="shared" si="14"/>
        <v/>
      </c>
    </row>
    <row r="160" spans="1:13" ht="13.2" x14ac:dyDescent="0.25">
      <c r="A160" s="6" t="s">
        <v>769</v>
      </c>
      <c r="B160" s="6" t="s">
        <v>206</v>
      </c>
      <c r="C160" s="6" t="str">
        <f t="shared" si="12"/>
        <v>M13</v>
      </c>
      <c r="D160" s="6"/>
      <c r="E160" s="6" t="str">
        <f t="shared" si="13"/>
        <v>M13</v>
      </c>
      <c r="F160" s="6" t="s">
        <v>769</v>
      </c>
      <c r="G160" s="6" t="s">
        <v>206</v>
      </c>
      <c r="H160" s="6" t="s">
        <v>935</v>
      </c>
      <c r="I160" s="6" t="s">
        <v>936</v>
      </c>
      <c r="J160" s="6" t="s">
        <v>937</v>
      </c>
      <c r="K160" s="6" t="s">
        <v>938</v>
      </c>
      <c r="L160" s="6" t="s">
        <v>986</v>
      </c>
      <c r="M160" s="6" t="str">
        <f t="shared" si="14"/>
        <v/>
      </c>
    </row>
    <row r="161" spans="1:13" ht="13.2" x14ac:dyDescent="0.25">
      <c r="A161" s="6" t="s">
        <v>766</v>
      </c>
      <c r="B161" s="6" t="s">
        <v>578</v>
      </c>
      <c r="C161" s="6" t="str">
        <f t="shared" si="12"/>
        <v>N1</v>
      </c>
      <c r="D161" s="6"/>
      <c r="E161" s="6" t="str">
        <f t="shared" si="13"/>
        <v>N1</v>
      </c>
      <c r="F161" s="6" t="s">
        <v>766</v>
      </c>
      <c r="G161" s="6" t="s">
        <v>578</v>
      </c>
      <c r="H161" s="6" t="s">
        <v>935</v>
      </c>
      <c r="I161" s="6" t="s">
        <v>936</v>
      </c>
      <c r="J161" s="6" t="s">
        <v>940</v>
      </c>
      <c r="K161" s="6" t="s">
        <v>941</v>
      </c>
      <c r="L161" s="6" t="s">
        <v>974</v>
      </c>
      <c r="M161" s="6" t="str">
        <f t="shared" si="14"/>
        <v/>
      </c>
    </row>
    <row r="162" spans="1:13" ht="13.2" x14ac:dyDescent="0.25">
      <c r="A162" s="6" t="s">
        <v>653</v>
      </c>
      <c r="B162" s="6" t="s">
        <v>577</v>
      </c>
      <c r="C162" s="6" t="str">
        <f t="shared" si="12"/>
        <v>N2</v>
      </c>
      <c r="D162" s="6"/>
      <c r="E162" s="6" t="str">
        <f t="shared" si="13"/>
        <v>N2</v>
      </c>
      <c r="F162" s="6" t="s">
        <v>653</v>
      </c>
      <c r="G162" s="6" t="s">
        <v>577</v>
      </c>
      <c r="H162" s="6" t="s">
        <v>935</v>
      </c>
      <c r="I162" s="6" t="s">
        <v>936</v>
      </c>
      <c r="J162" s="6" t="s">
        <v>940</v>
      </c>
      <c r="K162" s="6" t="s">
        <v>941</v>
      </c>
      <c r="L162" s="6" t="s">
        <v>949</v>
      </c>
      <c r="M162" s="6" t="str">
        <f t="shared" si="14"/>
        <v/>
      </c>
    </row>
    <row r="163" spans="1:13" ht="13.2" x14ac:dyDescent="0.25">
      <c r="A163" s="6" t="s">
        <v>646</v>
      </c>
      <c r="B163" s="6" t="s">
        <v>102</v>
      </c>
      <c r="C163" s="6" t="str">
        <f t="shared" si="12"/>
        <v>N3</v>
      </c>
      <c r="D163" s="6"/>
      <c r="E163" s="6" t="str">
        <f t="shared" si="13"/>
        <v>N3</v>
      </c>
      <c r="F163" s="6" t="s">
        <v>646</v>
      </c>
      <c r="G163" s="6" t="s">
        <v>102</v>
      </c>
      <c r="H163" s="6" t="s">
        <v>935</v>
      </c>
      <c r="I163" s="6" t="s">
        <v>936</v>
      </c>
      <c r="J163" s="6" t="s">
        <v>937</v>
      </c>
      <c r="K163" s="6" t="s">
        <v>938</v>
      </c>
      <c r="L163" s="6" t="s">
        <v>1026</v>
      </c>
      <c r="M163" s="6" t="str">
        <f t="shared" si="14"/>
        <v/>
      </c>
    </row>
    <row r="164" spans="1:13" ht="13.2" x14ac:dyDescent="0.25">
      <c r="A164" s="6" t="s">
        <v>670</v>
      </c>
      <c r="B164" s="6" t="s">
        <v>919</v>
      </c>
      <c r="C164" s="6" t="str">
        <f t="shared" si="12"/>
        <v>N4</v>
      </c>
      <c r="D164" s="6"/>
      <c r="E164" s="6" t="str">
        <f t="shared" si="13"/>
        <v>A3</v>
      </c>
      <c r="F164" s="6" t="s">
        <v>670</v>
      </c>
      <c r="G164" s="6" t="s">
        <v>919</v>
      </c>
      <c r="H164" s="6" t="s">
        <v>943</v>
      </c>
      <c r="I164" s="6" t="s">
        <v>936</v>
      </c>
      <c r="J164" s="6" t="s">
        <v>944</v>
      </c>
      <c r="K164" s="6" t="s">
        <v>954</v>
      </c>
      <c r="L164" s="6" t="s">
        <v>946</v>
      </c>
      <c r="M164" s="6" t="str">
        <f t="shared" si="14"/>
        <v/>
      </c>
    </row>
    <row r="165" spans="1:13" ht="13.2" x14ac:dyDescent="0.25">
      <c r="A165" s="6" t="s">
        <v>662</v>
      </c>
      <c r="B165" s="6" t="s">
        <v>324</v>
      </c>
      <c r="C165" s="6" t="str">
        <f t="shared" ref="C165:C173" si="15">A165</f>
        <v>N5</v>
      </c>
      <c r="D165" s="6"/>
      <c r="E165" s="6" t="str">
        <f t="shared" ref="E165:E173" si="16">IFERROR(VLOOKUP($G165,$B$5:$C$173,2,FALSE()),"")</f>
        <v>N5</v>
      </c>
      <c r="F165" s="6" t="s">
        <v>662</v>
      </c>
      <c r="G165" s="6" t="s">
        <v>324</v>
      </c>
      <c r="H165" s="6" t="s">
        <v>935</v>
      </c>
      <c r="I165" s="6" t="s">
        <v>936</v>
      </c>
      <c r="J165" s="6" t="s">
        <v>937</v>
      </c>
      <c r="K165" s="6" t="s">
        <v>938</v>
      </c>
      <c r="L165" s="6" t="s">
        <v>953</v>
      </c>
      <c r="M165" s="6" t="str">
        <f t="shared" ref="M165:M173" si="17">IF(G165=B165, "")</f>
        <v/>
      </c>
    </row>
    <row r="166" spans="1:13" ht="13.2" x14ac:dyDescent="0.25">
      <c r="A166" s="6" t="s">
        <v>725</v>
      </c>
      <c r="B166" s="6" t="s">
        <v>492</v>
      </c>
      <c r="C166" s="6" t="str">
        <f t="shared" si="15"/>
        <v>N6</v>
      </c>
      <c r="D166" s="6"/>
      <c r="E166" s="6" t="str">
        <f t="shared" si="16"/>
        <v>N6</v>
      </c>
      <c r="F166" s="6" t="s">
        <v>725</v>
      </c>
      <c r="G166" s="6" t="s">
        <v>492</v>
      </c>
      <c r="H166" s="6" t="s">
        <v>935</v>
      </c>
      <c r="I166" s="6" t="s">
        <v>936</v>
      </c>
      <c r="J166" s="6" t="s">
        <v>940</v>
      </c>
      <c r="K166" s="6" t="s">
        <v>941</v>
      </c>
      <c r="L166" s="6" t="s">
        <v>1020</v>
      </c>
      <c r="M166" s="6" t="str">
        <f t="shared" si="17"/>
        <v/>
      </c>
    </row>
    <row r="167" spans="1:13" ht="13.2" x14ac:dyDescent="0.25">
      <c r="A167" s="6" t="s">
        <v>790</v>
      </c>
      <c r="B167" s="6" t="s">
        <v>919</v>
      </c>
      <c r="C167" s="6" t="str">
        <f t="shared" si="15"/>
        <v>N7</v>
      </c>
      <c r="D167" s="6"/>
      <c r="E167" s="6" t="str">
        <f t="shared" si="16"/>
        <v>A3</v>
      </c>
      <c r="F167" s="6" t="s">
        <v>790</v>
      </c>
      <c r="G167" s="6" t="s">
        <v>919</v>
      </c>
      <c r="H167" s="6" t="s">
        <v>943</v>
      </c>
      <c r="I167" s="6" t="s">
        <v>936</v>
      </c>
      <c r="J167" s="6" t="s">
        <v>944</v>
      </c>
      <c r="K167" s="6" t="s">
        <v>967</v>
      </c>
      <c r="L167" s="6" t="s">
        <v>946</v>
      </c>
      <c r="M167" s="6" t="str">
        <f t="shared" si="17"/>
        <v/>
      </c>
    </row>
    <row r="168" spans="1:13" ht="13.2" x14ac:dyDescent="0.25">
      <c r="A168" s="6" t="s">
        <v>860</v>
      </c>
      <c r="B168" s="6" t="s">
        <v>470</v>
      </c>
      <c r="C168" s="6" t="str">
        <f t="shared" si="15"/>
        <v>N8</v>
      </c>
      <c r="D168" s="6"/>
      <c r="E168" s="6" t="str">
        <f t="shared" si="16"/>
        <v>N8</v>
      </c>
      <c r="F168" s="6" t="s">
        <v>860</v>
      </c>
      <c r="G168" s="6" t="s">
        <v>470</v>
      </c>
      <c r="H168" s="6" t="s">
        <v>935</v>
      </c>
      <c r="I168" s="6" t="s">
        <v>936</v>
      </c>
      <c r="J168" s="6" t="s">
        <v>937</v>
      </c>
      <c r="K168" s="6" t="s">
        <v>938</v>
      </c>
      <c r="L168" s="6" t="s">
        <v>1027</v>
      </c>
      <c r="M168" s="6" t="str">
        <f t="shared" si="17"/>
        <v/>
      </c>
    </row>
    <row r="169" spans="1:13" ht="13.2" x14ac:dyDescent="0.25">
      <c r="A169" s="6" t="s">
        <v>865</v>
      </c>
      <c r="B169" s="6" t="s">
        <v>450</v>
      </c>
      <c r="C169" s="6" t="str">
        <f t="shared" si="15"/>
        <v>N9</v>
      </c>
      <c r="D169" s="6"/>
      <c r="E169" s="6" t="str">
        <f t="shared" si="16"/>
        <v>N9</v>
      </c>
      <c r="F169" s="6" t="s">
        <v>865</v>
      </c>
      <c r="G169" s="6" t="s">
        <v>450</v>
      </c>
      <c r="H169" s="6" t="s">
        <v>935</v>
      </c>
      <c r="I169" s="6" t="s">
        <v>936</v>
      </c>
      <c r="J169" s="6" t="s">
        <v>937</v>
      </c>
      <c r="K169" s="6" t="s">
        <v>938</v>
      </c>
      <c r="L169" s="6" t="s">
        <v>1028</v>
      </c>
      <c r="M169" s="6" t="str">
        <f t="shared" si="17"/>
        <v/>
      </c>
    </row>
    <row r="170" spans="1:13" ht="13.2" x14ac:dyDescent="0.25">
      <c r="A170" s="6" t="s">
        <v>872</v>
      </c>
      <c r="B170" s="6" t="s">
        <v>917</v>
      </c>
      <c r="C170" s="6" t="str">
        <f t="shared" si="15"/>
        <v>N10</v>
      </c>
      <c r="D170" s="6"/>
      <c r="E170" s="6" t="str">
        <f t="shared" si="16"/>
        <v>B4</v>
      </c>
      <c r="F170" s="6" t="s">
        <v>872</v>
      </c>
      <c r="G170" s="6" t="s">
        <v>917</v>
      </c>
      <c r="H170" s="6" t="s">
        <v>943</v>
      </c>
      <c r="I170" s="6" t="s">
        <v>936</v>
      </c>
      <c r="J170" s="6" t="s">
        <v>944</v>
      </c>
      <c r="K170" s="6" t="s">
        <v>983</v>
      </c>
      <c r="L170" s="6" t="s">
        <v>946</v>
      </c>
      <c r="M170" s="6" t="str">
        <f t="shared" si="17"/>
        <v/>
      </c>
    </row>
    <row r="171" spans="1:13" ht="13.2" x14ac:dyDescent="0.25">
      <c r="A171" s="6" t="s">
        <v>871</v>
      </c>
      <c r="B171" s="6" t="s">
        <v>919</v>
      </c>
      <c r="C171" s="6" t="str">
        <f t="shared" si="15"/>
        <v>N11</v>
      </c>
      <c r="D171" s="6"/>
      <c r="E171" s="6" t="str">
        <f t="shared" si="16"/>
        <v>A3</v>
      </c>
      <c r="F171" s="6" t="s">
        <v>871</v>
      </c>
      <c r="G171" s="6" t="s">
        <v>919</v>
      </c>
      <c r="H171" s="6" t="s">
        <v>961</v>
      </c>
      <c r="I171" s="6" t="s">
        <v>936</v>
      </c>
      <c r="J171" s="6" t="s">
        <v>940</v>
      </c>
      <c r="K171" s="6" t="s">
        <v>941</v>
      </c>
      <c r="L171" s="6" t="s">
        <v>981</v>
      </c>
      <c r="M171" s="6" t="str">
        <f t="shared" si="17"/>
        <v/>
      </c>
    </row>
    <row r="172" spans="1:13" ht="13.2" x14ac:dyDescent="0.25">
      <c r="A172" s="6" t="s">
        <v>752</v>
      </c>
      <c r="B172" s="6" t="s">
        <v>568</v>
      </c>
      <c r="C172" s="6" t="str">
        <f t="shared" si="15"/>
        <v>N12</v>
      </c>
      <c r="D172" s="6"/>
      <c r="E172" s="6" t="str">
        <f t="shared" si="16"/>
        <v>N12</v>
      </c>
      <c r="F172" s="6" t="s">
        <v>752</v>
      </c>
      <c r="G172" s="6" t="s">
        <v>568</v>
      </c>
      <c r="H172" s="6" t="s">
        <v>935</v>
      </c>
      <c r="I172" s="6" t="s">
        <v>936</v>
      </c>
      <c r="J172" s="6" t="s">
        <v>940</v>
      </c>
      <c r="K172" s="6" t="s">
        <v>941</v>
      </c>
      <c r="L172" s="6" t="s">
        <v>941</v>
      </c>
      <c r="M172" s="6" t="str">
        <f t="shared" si="17"/>
        <v/>
      </c>
    </row>
    <row r="173" spans="1:13" ht="13.2" x14ac:dyDescent="0.25">
      <c r="A173" s="6" t="s">
        <v>842</v>
      </c>
      <c r="B173" s="6" t="s">
        <v>570</v>
      </c>
      <c r="C173" s="6" t="str">
        <f t="shared" si="15"/>
        <v>N13</v>
      </c>
      <c r="D173" s="6"/>
      <c r="E173" s="6" t="str">
        <f t="shared" si="16"/>
        <v>N13</v>
      </c>
      <c r="F173" s="6" t="s">
        <v>842</v>
      </c>
      <c r="G173" s="6" t="s">
        <v>570</v>
      </c>
      <c r="H173" s="6" t="s">
        <v>935</v>
      </c>
      <c r="I173" s="6" t="s">
        <v>936</v>
      </c>
      <c r="J173" s="6" t="s">
        <v>940</v>
      </c>
      <c r="K173" s="6" t="s">
        <v>941</v>
      </c>
      <c r="L173" s="6" t="s">
        <v>1019</v>
      </c>
      <c r="M173" s="6" t="str">
        <f t="shared" si="17"/>
        <v/>
      </c>
    </row>
  </sheetData>
  <pageMargins left="0" right="0" top="0.39374999999999999" bottom="0.39374999999999999" header="0" footer="0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36752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Alternate Functions</vt:lpstr>
      <vt:lpstr>Pinouts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Eldin Miller-Stead</dc:creator>
  <dc:description/>
  <cp:lastModifiedBy>cbloui01@student.ubc.ca</cp:lastModifiedBy>
  <cp:revision>41</cp:revision>
  <dcterms:created xsi:type="dcterms:W3CDTF">2024-03-28T12:12:17Z</dcterms:created>
  <dcterms:modified xsi:type="dcterms:W3CDTF">2025-12-30T07:07:20Z</dcterms:modified>
  <dc:language>en-CA</dc:language>
</cp:coreProperties>
</file>